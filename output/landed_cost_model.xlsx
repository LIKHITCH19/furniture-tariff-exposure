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Scenarios" sheetId="3" state="visible" r:id="rId5"/>
    <sheet name="Results" sheetId="4" state="visible" r:id="rId6"/>
    <sheet name="Break-even" sheetId="5" state="visible" r:id="rId7"/>
    <sheet name="Duty ra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Likhit</author>
  </authors>
  <commentList>
    <comment ref="D16" authorId="0">
      <text>
        <r>
          <rPr>
            <sz val="10"/>
            <rFont val="Arial"/>
            <family val="2"/>
          </rPr>
          <t xml:space="preserve">China is the reference price. Enter supplier quotes as a ratio to the China price for the same goods, e.g. 1.06 = 6% dearer.</t>
        </r>
      </text>
    </comment>
    <comment ref="D22" authorId="0">
      <text>
        <r>
          <rPr>
            <sz val="10"/>
            <rFont val="Arial"/>
            <family val="2"/>
          </rPr>
          <t xml:space="preserve">Source: 19 CFR 24.23 (MPF ad valorem rate 0.3464%).</t>
        </r>
      </text>
    </comment>
    <comment ref="D23" authorId="0">
      <text>
        <r>
          <rPr>
            <sz val="10"/>
            <rFont val="Arial"/>
            <family val="2"/>
          </rPr>
          <t xml:space="preserve">Source: 19 CFR 24.24 (HMF 0.125% of value, ocean cargo).</t>
        </r>
      </text>
    </comment>
    <comment ref="I18" authorId="0">
      <text>
        <r>
          <rPr>
            <sz val="10"/>
            <rFont val="Arial"/>
            <family val="2"/>
          </rPr>
          <t xml:space="preserve">USMCA-originating goods are exempt from the MPF. Set to 1 if your Mexican goods do not qualify.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Likhit</author>
  </authors>
  <commentList>
    <comment ref="F10" authorId="0">
      <text>
        <r>
          <rPr>
            <sz val="10"/>
            <rFont val="Arial"/>
            <family val="2"/>
          </rPr>
          <t xml:space="preserve">Only $1,976,041 of Malaysia trade in this line - using Malaysia's rate across all furniture lines instead.</t>
        </r>
      </text>
    </comment>
  </commentList>
</comments>
</file>

<file path=xl/sharedStrings.xml><?xml version="1.0" encoding="utf-8"?>
<sst xmlns="http://schemas.openxmlformats.org/spreadsheetml/2006/main" count="404" uniqueCount="94">
  <si>
    <t xml:space="preserve">Furniture landed-cost scenario model</t>
  </si>
  <si>
    <t xml:space="preserve">What this answers</t>
  </si>
  <si>
    <t xml:space="preserve">If a mid-size US furniture importer moves volume out of China, what happens to its total landed cost once duty, freight and fees are counted - and how much more can a new factory charge before the move stops saving money?</t>
  </si>
  <si>
    <t xml:space="preserve">What is real and what is assumed</t>
  </si>
  <si>
    <t xml:space="preserve">REAL: duty rates. 'Duty rates' holds the effective rate US importers actually paid (calculated duty / customs value) by origin and product line, Jun 2026-Aug 2026, from the US Census Bureau international trade API.</t>
  </si>
  <si>
    <t xml:space="preserve">ASSUMED: the company. Purchase volumes, today's sourcing mix, freight costs and factory prices are illustrative inputs for a $40M-a-year importer. Replace them with real numbers before using this for a decision.</t>
  </si>
  <si>
    <t xml:space="preserve">How to use it</t>
  </si>
  <si>
    <t xml:space="preserve">1. Inputs - change purchase volumes, factory prices, freight, and override any duty rate.</t>
  </si>
  <si>
    <t xml:space="preserve">2. Scenarios - edit today's mix. Scenarios 2-4 move today's China volume elsewhere and update on their own; type over them to define a different scenario.</t>
  </si>
  <si>
    <t xml:space="preserve">3. Results - landed cost for each scenario and the change against today.</t>
  </si>
  <si>
    <t xml:space="preserve">4. Break-even - the highest factory price premium over China at which each origin is still cheaper landed.</t>
  </si>
  <si>
    <t xml:space="preserve">Cell colours</t>
  </si>
  <si>
    <t xml:space="preserve">Blue text = a typed-in number (input or data). Black = formula. Green = pulled from another sheet. Yellow fill = an assumption worth reviewing.</t>
  </si>
  <si>
    <t xml:space="preserve">Things to know before trusting a number</t>
  </si>
  <si>
    <t xml:space="preserve">- Duty is applied to the FOB value. US customs value is normally the transaction value, which excludes international freight, so this matches how duty is assessed.</t>
  </si>
  <si>
    <t xml:space="preserve">- Observed rates are averages across everything shipped under that product code. A single SKU can sit above or below them (exclusions, USMCA qualification, Section 232 coverage at the 10-digit level).</t>
  </si>
  <si>
    <t xml:space="preserve">- Mexico's rate is a blend: USMCA-qualifying goods enter duty-free, others do not. Whether your goods qualify changes the answer a lot.</t>
  </si>
  <si>
    <t xml:space="preserve">- The rate window (Jun-Aug 2026) straddles a policy change: Section 301 tariffs replaced the 10% Section 122 tariff on Jul 24, 2026. Use the overrides on 'Inputs' to test the newer statutory rates.</t>
  </si>
  <si>
    <t xml:space="preserve">- Cells with under $2M of trade in the window use the origin's rate across all furniture lines instead (marked with a comment on 'Duty rates').</t>
  </si>
  <si>
    <t xml:space="preserve">- Merchandise processing fee (0.3464%) and harbor maintenance fee (0.125%) are applied as flat percentages; the per-entry MPF minimum and maximum are ignored.</t>
  </si>
  <si>
    <t xml:space="preserve">Inputs</t>
  </si>
  <si>
    <t xml:space="preserve">Yellow cells are assumptions for an illustrative importer - replace with real figures.</t>
  </si>
  <si>
    <t xml:space="preserve">1. What the company buys each year</t>
  </si>
  <si>
    <t xml:space="preserve">HS6</t>
  </si>
  <si>
    <t xml:space="preserve">Product line</t>
  </si>
  <si>
    <t xml:space="preserve">Purchases at China FOB prices ($)</t>
  </si>
  <si>
    <t xml:space="preserve">940161</t>
  </si>
  <si>
    <t xml:space="preserve">Upholstered wood-frame seating</t>
  </si>
  <si>
    <t xml:space="preserve">940350</t>
  </si>
  <si>
    <t xml:space="preserve">Wooden bedroom furniture</t>
  </si>
  <si>
    <t xml:space="preserve">940360</t>
  </si>
  <si>
    <t xml:space="preserve">Other wooden furniture</t>
  </si>
  <si>
    <t xml:space="preserve">940340</t>
  </si>
  <si>
    <t xml:space="preserve">Kitchen cabinets and vanities</t>
  </si>
  <si>
    <t xml:space="preserve">940171</t>
  </si>
  <si>
    <t xml:space="preserve">Upholstered metal-frame seating</t>
  </si>
  <si>
    <t xml:space="preserve">940320</t>
  </si>
  <si>
    <t xml:space="preserve">Other metal furniture</t>
  </si>
  <si>
    <t xml:space="preserve">Total</t>
  </si>
  <si>
    <t xml:space="preserve">2. Cost assumptions by origin</t>
  </si>
  <si>
    <t xml:space="preserve">Assumption</t>
  </si>
  <si>
    <t xml:space="preserve">China</t>
  </si>
  <si>
    <t xml:space="preserve">Vietnam</t>
  </si>
  <si>
    <t xml:space="preserve">Malaysia</t>
  </si>
  <si>
    <t xml:space="preserve">Indonesia</t>
  </si>
  <si>
    <t xml:space="preserve">Cambodia</t>
  </si>
  <si>
    <t xml:space="preserve">Mexico</t>
  </si>
  <si>
    <t xml:space="preserve">Factory price vs China (1.00 = same price)</t>
  </si>
  <si>
    <t xml:space="preserve">Freight and insurance (% of FOB)</t>
  </si>
  <si>
    <t xml:space="preserve">Merchandise processing fee applies (1 = yes)</t>
  </si>
  <si>
    <t xml:space="preserve">Harbor maintenance fee applies (1 = yes)</t>
  </si>
  <si>
    <t xml:space="preserve">3. Fee rates</t>
  </si>
  <si>
    <t xml:space="preserve">Merchandise processing fee (% of value)</t>
  </si>
  <si>
    <t xml:space="preserve">Harbor maintenance fee (% of value)</t>
  </si>
  <si>
    <t xml:space="preserve">Fee rate applied, by origin</t>
  </si>
  <si>
    <t xml:space="preserve">4. Duty rate overrides (leave blank to use the observed rate)</t>
  </si>
  <si>
    <t xml:space="preserve">5. Duty rate used in the model</t>
  </si>
  <si>
    <t xml:space="preserve">Sourcing scenarios</t>
  </si>
  <si>
    <t xml:space="preserve">Share of each product line bought from each origin. Scenarios 2-4 move today's China share elsewhere - type over them to build your own.</t>
  </si>
  <si>
    <t xml:space="preserve">Scenario 1</t>
  </si>
  <si>
    <t xml:space="preserve">Today's sourcing</t>
  </si>
  <si>
    <t xml:space="preserve">Check</t>
  </si>
  <si>
    <t xml:space="preserve">Scenario 2</t>
  </si>
  <si>
    <t xml:space="preserve">Move China volume to Vietnam</t>
  </si>
  <si>
    <t xml:space="preserve">Scenario 3</t>
  </si>
  <si>
    <t xml:space="preserve">Spread China volume: Vietnam / Cambodia / Indonesia</t>
  </si>
  <si>
    <t xml:space="preserve">Scenario 4</t>
  </si>
  <si>
    <t xml:space="preserve">Nearshore China volume to Mexico</t>
  </si>
  <si>
    <t xml:space="preserve">Landed cost by scenario</t>
  </si>
  <si>
    <t xml:space="preserve">Landed cost = factory price + freight + duty + customs fees. Annual, US$.</t>
  </si>
  <si>
    <t xml:space="preserve">Summary</t>
  </si>
  <si>
    <t xml:space="preserve">#</t>
  </si>
  <si>
    <t xml:space="preserve">Scenario</t>
  </si>
  <si>
    <t xml:space="preserve">Landed cost ($)</t>
  </si>
  <si>
    <t xml:space="preserve">vs today ($)</t>
  </si>
  <si>
    <t xml:space="preserve">vs today (%)</t>
  </si>
  <si>
    <t xml:space="preserve">Duty paid ($)</t>
  </si>
  <si>
    <t xml:space="preserve">Effective duty rate</t>
  </si>
  <si>
    <t xml:space="preserve">FOB cost ($)</t>
  </si>
  <si>
    <t xml:space="preserve">Negative 'vs today' = the scenario is cheaper than today's sourcing.</t>
  </si>
  <si>
    <t xml:space="preserve">Freight ($)</t>
  </si>
  <si>
    <t xml:space="preserve">Duty ($)</t>
  </si>
  <si>
    <t xml:space="preserve">Fees ($)</t>
  </si>
  <si>
    <t xml:space="preserve">Duty rate</t>
  </si>
  <si>
    <t xml:space="preserve">How much more can a new factory charge?</t>
  </si>
  <si>
    <t xml:space="preserve">The highest price premium over China at which each origin is still cheaper landed (duty, freight and fees included). Negative = more expensive than China even at the same factory price.</t>
  </si>
  <si>
    <t xml:space="preserve">Example: 20% in the Vietnam column means a Vietnamese factory can quote up to 20% above the China price for the same goods and still come out cheaper once the goods reach the US.</t>
  </si>
  <si>
    <t xml:space="preserve">Observed effective duty rates</t>
  </si>
  <si>
    <t xml:space="preserve">Source: US Census Bureau international trade API, imports for consumption. Rate = calculated duty / customs value.</t>
  </si>
  <si>
    <t xml:space="preserve">Effective duty rate, Jun-Aug 2026 (used by the model)</t>
  </si>
  <si>
    <t xml:space="preserve">Effective duty rate, calendar 2024 (before the 2025 tariffs)</t>
  </si>
  <si>
    <t xml:space="preserve">Change since 2024 (percentage points)</t>
  </si>
  <si>
    <t xml:space="preserve">Goods value behind each rate above, Jun-Aug 2026 ($)</t>
  </si>
  <si>
    <t xml:space="preserve">Rates fell back to the origin's all-line rate for: Malaysia / Upholstered metal-frame seating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</si>
</sst>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0"/>
    <numFmt numFmtId="167" formatCode="0.0%;\(0.0%\);\-"/>
    <numFmt numFmtId="168" formatCode="0"/>
    <numFmt numFmtId="169" formatCode="0.0000%"/>
    <numFmt numFmtId="170" formatCode="0.000%"/>
    <numFmt numFmtId="171" formatCode="0.00%;\(0.00%\);\-"/>
    <numFmt numFmtId="172" formatCode="\+0.0;\-0.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0"/>
      <color rgb="FFC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23.8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2" t="s">
        <v>3</v>
      </c>
    </row>
    <row r="8" customFormat="false" ht="23.85" hidden="false" customHeight="false" outlineLevel="0" collapsed="false">
      <c r="B8" s="3" t="s">
        <v>4</v>
      </c>
    </row>
    <row r="9" customFormat="false" ht="23.8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3" t="s">
        <v>7</v>
      </c>
    </row>
    <row r="13" customFormat="false" ht="23.8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2" t="s">
        <v>11</v>
      </c>
    </row>
    <row r="18" customFormat="false" ht="23.8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2" t="s">
        <v>13</v>
      </c>
    </row>
    <row r="21" customFormat="false" ht="23.85" hidden="false" customHeight="false" outlineLevel="0" collapsed="false">
      <c r="B21" s="3" t="s">
        <v>14</v>
      </c>
    </row>
    <row r="22" customFormat="false" ht="23.8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3" t="s">
        <v>16</v>
      </c>
    </row>
    <row r="24" customFormat="false" ht="23.85" hidden="false" customHeight="false" outlineLevel="0" collapsed="false">
      <c r="B24" s="3" t="s">
        <v>17</v>
      </c>
    </row>
    <row r="25" customFormat="false" ht="23.85" hidden="false" customHeight="false" outlineLevel="0" collapsed="false">
      <c r="B25" s="3" t="s">
        <v>18</v>
      </c>
    </row>
    <row r="26" customFormat="false" ht="23.85" hidden="false" customHeight="false" outlineLevel="0" collapsed="false">
      <c r="B26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17"/>
    <col collapsed="false" customWidth="true" hidden="false" outlineLevel="0" max="9" min="5" style="0" width="13"/>
  </cols>
  <sheetData>
    <row r="1" customFormat="false" ht="17.35" hidden="false" customHeight="false" outlineLevel="0" collapsed="false">
      <c r="B1" s="1" t="s">
        <v>20</v>
      </c>
    </row>
    <row r="2" customFormat="false" ht="15" hidden="false" customHeight="false" outlineLevel="0" collapsed="false">
      <c r="B2" s="4" t="s">
        <v>21</v>
      </c>
    </row>
    <row r="4" customFormat="false" ht="15" hidden="false" customHeight="false" outlineLevel="0" collapsed="false">
      <c r="B4" s="5" t="s">
        <v>22</v>
      </c>
    </row>
    <row r="5" customFormat="false" ht="42" hidden="false" customHeight="true" outlineLevel="0" collapsed="false">
      <c r="B5" s="6" t="s">
        <v>23</v>
      </c>
      <c r="C5" s="6" t="s">
        <v>24</v>
      </c>
      <c r="D5" s="7" t="s">
        <v>25</v>
      </c>
    </row>
    <row r="6" customFormat="false" ht="15" hidden="false" customHeight="false" outlineLevel="0" collapsed="false">
      <c r="B6" s="8" t="s">
        <v>26</v>
      </c>
      <c r="C6" s="8" t="s">
        <v>27</v>
      </c>
      <c r="D6" s="9" t="n">
        <v>12000000</v>
      </c>
    </row>
    <row r="7" customFormat="false" ht="15" hidden="false" customHeight="false" outlineLevel="0" collapsed="false">
      <c r="B7" s="8" t="s">
        <v>28</v>
      </c>
      <c r="C7" s="8" t="s">
        <v>29</v>
      </c>
      <c r="D7" s="9" t="n">
        <v>8000000</v>
      </c>
    </row>
    <row r="8" customFormat="false" ht="15" hidden="false" customHeight="false" outlineLevel="0" collapsed="false">
      <c r="B8" s="8" t="s">
        <v>30</v>
      </c>
      <c r="C8" s="8" t="s">
        <v>31</v>
      </c>
      <c r="D8" s="9" t="n">
        <v>7000000</v>
      </c>
    </row>
    <row r="9" customFormat="false" ht="15" hidden="false" customHeight="false" outlineLevel="0" collapsed="false">
      <c r="B9" s="8" t="s">
        <v>32</v>
      </c>
      <c r="C9" s="8" t="s">
        <v>33</v>
      </c>
      <c r="D9" s="9" t="n">
        <v>5000000</v>
      </c>
    </row>
    <row r="10" customFormat="false" ht="15" hidden="false" customHeight="false" outlineLevel="0" collapsed="false">
      <c r="B10" s="8" t="s">
        <v>34</v>
      </c>
      <c r="C10" s="8" t="s">
        <v>35</v>
      </c>
      <c r="D10" s="9" t="n">
        <v>4000000</v>
      </c>
    </row>
    <row r="11" customFormat="false" ht="15" hidden="false" customHeight="false" outlineLevel="0" collapsed="false">
      <c r="B11" s="8" t="s">
        <v>36</v>
      </c>
      <c r="C11" s="8" t="s">
        <v>37</v>
      </c>
      <c r="D11" s="9" t="n">
        <v>4000000</v>
      </c>
    </row>
    <row r="12" customFormat="false" ht="15" hidden="false" customHeight="false" outlineLevel="0" collapsed="false">
      <c r="C12" s="10" t="s">
        <v>38</v>
      </c>
      <c r="D12" s="11" t="n">
        <f aca="false">SUM(D6:D11)</f>
        <v>40000000</v>
      </c>
    </row>
    <row r="14" customFormat="false" ht="15" hidden="false" customHeight="false" outlineLevel="0" collapsed="false">
      <c r="B14" s="5" t="s">
        <v>39</v>
      </c>
    </row>
    <row r="15" customFormat="false" ht="15" hidden="false" customHeight="false" outlineLevel="0" collapsed="false">
      <c r="B15" s="6"/>
      <c r="C15" s="6" t="s">
        <v>40</v>
      </c>
      <c r="D15" s="6" t="s">
        <v>41</v>
      </c>
      <c r="E15" s="6" t="s">
        <v>42</v>
      </c>
      <c r="F15" s="6" t="s">
        <v>43</v>
      </c>
      <c r="G15" s="6" t="s">
        <v>44</v>
      </c>
      <c r="H15" s="6" t="s">
        <v>45</v>
      </c>
      <c r="I15" s="6" t="s">
        <v>46</v>
      </c>
    </row>
    <row r="16" customFormat="false" ht="15" hidden="false" customHeight="false" outlineLevel="0" collapsed="false">
      <c r="C16" s="8" t="s">
        <v>47</v>
      </c>
      <c r="D16" s="12" t="n">
        <v>1</v>
      </c>
      <c r="E16" s="12" t="n">
        <v>1</v>
      </c>
      <c r="F16" s="12" t="n">
        <v>1</v>
      </c>
      <c r="G16" s="12" t="n">
        <v>1</v>
      </c>
      <c r="H16" s="12" t="n">
        <v>1</v>
      </c>
      <c r="I16" s="12" t="n">
        <v>1</v>
      </c>
    </row>
    <row r="17" customFormat="false" ht="15" hidden="false" customHeight="false" outlineLevel="0" collapsed="false">
      <c r="C17" s="8" t="s">
        <v>48</v>
      </c>
      <c r="D17" s="13" t="n">
        <v>0.07</v>
      </c>
      <c r="E17" s="13" t="n">
        <v>0.075</v>
      </c>
      <c r="F17" s="13" t="n">
        <v>0.075</v>
      </c>
      <c r="G17" s="13" t="n">
        <v>0.08</v>
      </c>
      <c r="H17" s="13" t="n">
        <v>0.08</v>
      </c>
      <c r="I17" s="13" t="n">
        <v>0.035</v>
      </c>
    </row>
    <row r="18" customFormat="false" ht="15" hidden="false" customHeight="false" outlineLevel="0" collapsed="false">
      <c r="C18" s="8" t="s">
        <v>49</v>
      </c>
      <c r="D18" s="14" t="n">
        <v>1</v>
      </c>
      <c r="E18" s="14" t="n">
        <v>1</v>
      </c>
      <c r="F18" s="14" t="n">
        <v>1</v>
      </c>
      <c r="G18" s="14" t="n">
        <v>1</v>
      </c>
      <c r="H18" s="14" t="n">
        <v>1</v>
      </c>
      <c r="I18" s="14" t="n">
        <v>0</v>
      </c>
    </row>
    <row r="19" customFormat="false" ht="15" hidden="false" customHeight="false" outlineLevel="0" collapsed="false">
      <c r="C19" s="8" t="s">
        <v>50</v>
      </c>
      <c r="D19" s="14" t="n">
        <v>1</v>
      </c>
      <c r="E19" s="14" t="n">
        <v>1</v>
      </c>
      <c r="F19" s="14" t="n">
        <v>1</v>
      </c>
      <c r="G19" s="14" t="n">
        <v>1</v>
      </c>
      <c r="H19" s="14" t="n">
        <v>1</v>
      </c>
      <c r="I19" s="14" t="n">
        <v>0</v>
      </c>
    </row>
    <row r="21" customFormat="false" ht="15" hidden="false" customHeight="false" outlineLevel="0" collapsed="false">
      <c r="B21" s="5" t="s">
        <v>51</v>
      </c>
    </row>
    <row r="22" customFormat="false" ht="15" hidden="false" customHeight="false" outlineLevel="0" collapsed="false">
      <c r="C22" s="8" t="s">
        <v>52</v>
      </c>
      <c r="D22" s="15" t="n">
        <v>0.003464</v>
      </c>
    </row>
    <row r="23" customFormat="false" ht="15" hidden="false" customHeight="false" outlineLevel="0" collapsed="false">
      <c r="C23" s="8" t="s">
        <v>53</v>
      </c>
      <c r="D23" s="16" t="n">
        <v>0.00125</v>
      </c>
    </row>
    <row r="24" customFormat="false" ht="15" hidden="false" customHeight="false" outlineLevel="0" collapsed="false">
      <c r="C24" s="17" t="s">
        <v>54</v>
      </c>
      <c r="D24" s="18" t="n">
        <f aca="false">$D$22*D18+$D$23*D19</f>
        <v>0.004714</v>
      </c>
      <c r="E24" s="18" t="n">
        <f aca="false">$D$22*E18+$D$23*E19</f>
        <v>0.004714</v>
      </c>
      <c r="F24" s="18" t="n">
        <f aca="false">$D$22*F18+$D$23*F19</f>
        <v>0.004714</v>
      </c>
      <c r="G24" s="18" t="n">
        <f aca="false">$D$22*G18+$D$23*G19</f>
        <v>0.004714</v>
      </c>
      <c r="H24" s="18" t="n">
        <f aca="false">$D$22*H18+$D$23*H19</f>
        <v>0.004714</v>
      </c>
      <c r="I24" s="18" t="n">
        <f aca="false">$D$22*I18+$D$23*I19</f>
        <v>0</v>
      </c>
    </row>
    <row r="26" customFormat="false" ht="15" hidden="false" customHeight="false" outlineLevel="0" collapsed="false">
      <c r="B26" s="5" t="s">
        <v>55</v>
      </c>
    </row>
    <row r="27" customFormat="false" ht="15" hidden="false" customHeight="false" outlineLevel="0" collapsed="false">
      <c r="B27" s="6" t="s">
        <v>23</v>
      </c>
      <c r="C27" s="6" t="s">
        <v>24</v>
      </c>
      <c r="D27" s="6" t="s">
        <v>41</v>
      </c>
      <c r="E27" s="6" t="s">
        <v>42</v>
      </c>
      <c r="F27" s="6" t="s">
        <v>43</v>
      </c>
      <c r="G27" s="6" t="s">
        <v>44</v>
      </c>
      <c r="H27" s="6" t="s">
        <v>45</v>
      </c>
      <c r="I27" s="6" t="s">
        <v>46</v>
      </c>
    </row>
    <row r="28" customFormat="false" ht="15" hidden="false" customHeight="false" outlineLevel="0" collapsed="false">
      <c r="B28" s="8" t="s">
        <v>26</v>
      </c>
      <c r="C28" s="8" t="s">
        <v>27</v>
      </c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B29" s="8" t="s">
        <v>28</v>
      </c>
      <c r="C29" s="8" t="s">
        <v>29</v>
      </c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B30" s="8" t="s">
        <v>30</v>
      </c>
      <c r="C30" s="8" t="s">
        <v>31</v>
      </c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B31" s="8" t="s">
        <v>32</v>
      </c>
      <c r="C31" s="8" t="s">
        <v>33</v>
      </c>
      <c r="D31" s="13"/>
      <c r="E31" s="13"/>
      <c r="F31" s="13"/>
      <c r="G31" s="13"/>
      <c r="H31" s="13"/>
      <c r="I31" s="13"/>
    </row>
    <row r="32" customFormat="false" ht="15" hidden="false" customHeight="false" outlineLevel="0" collapsed="false">
      <c r="B32" s="8" t="s">
        <v>34</v>
      </c>
      <c r="C32" s="8" t="s">
        <v>35</v>
      </c>
      <c r="D32" s="13"/>
      <c r="E32" s="13"/>
      <c r="F32" s="13"/>
      <c r="G32" s="13"/>
      <c r="H32" s="13"/>
      <c r="I32" s="13"/>
    </row>
    <row r="33" customFormat="false" ht="15" hidden="false" customHeight="false" outlineLevel="0" collapsed="false">
      <c r="B33" s="8" t="s">
        <v>36</v>
      </c>
      <c r="C33" s="8" t="s">
        <v>37</v>
      </c>
      <c r="D33" s="13"/>
      <c r="E33" s="13"/>
      <c r="F33" s="13"/>
      <c r="G33" s="13"/>
      <c r="H33" s="13"/>
      <c r="I33" s="13"/>
    </row>
    <row r="35" customFormat="false" ht="15" hidden="false" customHeight="false" outlineLevel="0" collapsed="false">
      <c r="B35" s="5" t="s">
        <v>56</v>
      </c>
    </row>
    <row r="36" customFormat="false" ht="15" hidden="false" customHeight="false" outlineLevel="0" collapsed="false">
      <c r="B36" s="6" t="s">
        <v>23</v>
      </c>
      <c r="C36" s="6" t="s">
        <v>24</v>
      </c>
      <c r="D36" s="6" t="s">
        <v>41</v>
      </c>
      <c r="E36" s="6" t="s">
        <v>42</v>
      </c>
      <c r="F36" s="6" t="s">
        <v>43</v>
      </c>
      <c r="G36" s="6" t="s">
        <v>44</v>
      </c>
      <c r="H36" s="6" t="s">
        <v>45</v>
      </c>
      <c r="I36" s="6" t="s">
        <v>46</v>
      </c>
    </row>
    <row r="37" customFormat="false" ht="15" hidden="false" customHeight="false" outlineLevel="0" collapsed="false">
      <c r="B37" s="8" t="s">
        <v>26</v>
      </c>
      <c r="C37" s="8" t="s">
        <v>27</v>
      </c>
      <c r="D37" s="19" t="n">
        <f aca="false">IF(D28="",'Duty rates'!D6,D28)</f>
        <v>0.39330566741433</v>
      </c>
      <c r="E37" s="19" t="n">
        <f aca="false">IF(E28="",'Duty rates'!E6,E28)</f>
        <v>0.248013161038794</v>
      </c>
      <c r="F37" s="19" t="n">
        <f aca="false">IF(F28="",'Duty rates'!F6,F28)</f>
        <v>0.253742770622154</v>
      </c>
      <c r="G37" s="19" t="n">
        <f aca="false">IF(G28="",'Duty rates'!G6,G28)</f>
        <v>0.230650414971072</v>
      </c>
      <c r="H37" s="19" t="n">
        <f aca="false">IF(H28="",'Duty rates'!H6,H28)</f>
        <v>0.251598285343126</v>
      </c>
      <c r="I37" s="19" t="n">
        <f aca="false">IF(I28="",'Duty rates'!I6,I28)</f>
        <v>0.244763628110191</v>
      </c>
    </row>
    <row r="38" customFormat="false" ht="15" hidden="false" customHeight="false" outlineLevel="0" collapsed="false">
      <c r="B38" s="8" t="s">
        <v>28</v>
      </c>
      <c r="C38" s="8" t="s">
        <v>29</v>
      </c>
      <c r="D38" s="19" t="n">
        <f aca="false">IF(D29="",'Duty rates'!D7,D29)</f>
        <v>0.354965962313624</v>
      </c>
      <c r="E38" s="19" t="n">
        <f aca="false">IF(E29="",'Duty rates'!E7,E29)</f>
        <v>0.105654163347739</v>
      </c>
      <c r="F38" s="19" t="n">
        <f aca="false">IF(F29="",'Duty rates'!F7,F29)</f>
        <v>0.0952696216592758</v>
      </c>
      <c r="G38" s="19" t="n">
        <f aca="false">IF(G29="",'Duty rates'!G7,G29)</f>
        <v>0.0972314660052252</v>
      </c>
      <c r="H38" s="19" t="n">
        <f aca="false">IF(H29="",'Duty rates'!H7,H29)</f>
        <v>0.092367751746197</v>
      </c>
      <c r="I38" s="19" t="n">
        <f aca="false">IF(I29="",'Duty rates'!I7,I29)</f>
        <v>0.000121615575290795</v>
      </c>
    </row>
    <row r="39" customFormat="false" ht="15" hidden="false" customHeight="false" outlineLevel="0" collapsed="false">
      <c r="B39" s="8" t="s">
        <v>30</v>
      </c>
      <c r="C39" s="8" t="s">
        <v>31</v>
      </c>
      <c r="D39" s="19" t="n">
        <f aca="false">IF(D30="",'Duty rates'!D8,D30)</f>
        <v>0.357887788112456</v>
      </c>
      <c r="E39" s="19" t="n">
        <f aca="false">IF(E30="",'Duty rates'!E8,E30)</f>
        <v>0.133074399577257</v>
      </c>
      <c r="F39" s="19" t="n">
        <f aca="false">IF(F30="",'Duty rates'!F8,F30)</f>
        <v>0.103347353082269</v>
      </c>
      <c r="G39" s="19" t="n">
        <f aca="false">IF(G30="",'Duty rates'!G8,G30)</f>
        <v>0.100654941057467</v>
      </c>
      <c r="H39" s="19" t="n">
        <f aca="false">IF(H30="",'Duty rates'!H8,H30)</f>
        <v>0.134576736521368</v>
      </c>
      <c r="I39" s="19" t="n">
        <f aca="false">IF(I30="",'Duty rates'!I8,I30)</f>
        <v>0.088078124504345</v>
      </c>
    </row>
    <row r="40" customFormat="false" ht="15" hidden="false" customHeight="false" outlineLevel="0" collapsed="false">
      <c r="B40" s="8" t="s">
        <v>32</v>
      </c>
      <c r="C40" s="8" t="s">
        <v>33</v>
      </c>
      <c r="D40" s="19" t="n">
        <f aca="false">IF(D31="",'Duty rates'!D9,D31)</f>
        <v>0.378959945725027</v>
      </c>
      <c r="E40" s="19" t="n">
        <f aca="false">IF(E31="",'Duty rates'!E9,E31)</f>
        <v>0.228701741453027</v>
      </c>
      <c r="F40" s="19" t="n">
        <f aca="false">IF(F31="",'Duty rates'!F9,F31)</f>
        <v>0.238453448238948</v>
      </c>
      <c r="G40" s="19" t="n">
        <f aca="false">IF(G31="",'Duty rates'!G9,G31)</f>
        <v>0.235707350344789</v>
      </c>
      <c r="H40" s="19" t="n">
        <f aca="false">IF(H31="",'Duty rates'!H9,H31)</f>
        <v>0.247408625732059</v>
      </c>
      <c r="I40" s="19" t="n">
        <f aca="false">IF(I31="",'Duty rates'!I9,I31)</f>
        <v>0.222449980266594</v>
      </c>
    </row>
    <row r="41" customFormat="false" ht="15" hidden="false" customHeight="false" outlineLevel="0" collapsed="false">
      <c r="B41" s="8" t="s">
        <v>34</v>
      </c>
      <c r="C41" s="8" t="s">
        <v>35</v>
      </c>
      <c r="D41" s="19" t="n">
        <f aca="false">IF(D32="",'Duty rates'!D10,D32)</f>
        <v>0.196292974767155</v>
      </c>
      <c r="E41" s="19" t="n">
        <f aca="false">IF(E32="",'Duty rates'!E10,E32)</f>
        <v>0.102307731921291</v>
      </c>
      <c r="F41" s="19" t="n">
        <f aca="false">IF(F32="",'Duty rates'!F10,F32)</f>
        <v>0.135928272683048</v>
      </c>
      <c r="G41" s="19" t="n">
        <f aca="false">IF(G32="",'Duty rates'!G10,G32)</f>
        <v>0.091870681566152</v>
      </c>
      <c r="H41" s="19" t="n">
        <f aca="false">IF(H32="",'Duty rates'!H10,H32)</f>
        <v>0.0902985811680249</v>
      </c>
      <c r="I41" s="19" t="n">
        <f aca="false">IF(I32="",'Duty rates'!I10,I32)</f>
        <v>0.00433032979411681</v>
      </c>
    </row>
    <row r="42" customFormat="false" ht="15" hidden="false" customHeight="false" outlineLevel="0" collapsed="false">
      <c r="B42" s="8" t="s">
        <v>36</v>
      </c>
      <c r="C42" s="8" t="s">
        <v>37</v>
      </c>
      <c r="D42" s="19" t="n">
        <f aca="false">IF(D33="",'Duty rates'!D11,D33)</f>
        <v>0.366290341205539</v>
      </c>
      <c r="E42" s="19" t="n">
        <f aca="false">IF(E33="",'Duty rates'!E11,E33)</f>
        <v>0.115483189351783</v>
      </c>
      <c r="F42" s="19" t="n">
        <f aca="false">IF(F33="",'Duty rates'!F11,F33)</f>
        <v>0.106530579684422</v>
      </c>
      <c r="G42" s="19" t="n">
        <f aca="false">IF(G33="",'Duty rates'!G11,G33)</f>
        <v>0.0965525849770248</v>
      </c>
      <c r="H42" s="19" t="n">
        <f aca="false">IF(H33="",'Duty rates'!H11,H33)</f>
        <v>0.100620345772489</v>
      </c>
      <c r="I42" s="19" t="n">
        <f aca="false">IF(I33="",'Duty rates'!I11,I33)</f>
        <v>0.0461661765664279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9" min="4" style="0" width="12"/>
    <col collapsed="false" customWidth="true" hidden="false" outlineLevel="0" max="10" min="10" style="0" width="10"/>
    <col collapsed="false" customWidth="true" hidden="false" outlineLevel="0" max="11" min="11" style="0" width="24"/>
  </cols>
  <sheetData>
    <row r="1" customFormat="false" ht="17.35" hidden="false" customHeight="false" outlineLevel="0" collapsed="false">
      <c r="B1" s="1" t="s">
        <v>57</v>
      </c>
    </row>
    <row r="2" customFormat="false" ht="15" hidden="false" customHeight="false" outlineLevel="0" collapsed="false">
      <c r="B2" s="4" t="s">
        <v>58</v>
      </c>
    </row>
    <row r="4" customFormat="false" ht="15" hidden="false" customHeight="false" outlineLevel="0" collapsed="false">
      <c r="B4" s="5" t="s">
        <v>59</v>
      </c>
      <c r="C4" s="20" t="s">
        <v>60</v>
      </c>
    </row>
    <row r="5" customFormat="false" ht="15" hidden="false" customHeight="false" outlineLevel="0" collapsed="false">
      <c r="B5" s="6" t="s">
        <v>23</v>
      </c>
      <c r="C5" s="6" t="s">
        <v>24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38</v>
      </c>
      <c r="K5" s="6" t="s">
        <v>61</v>
      </c>
    </row>
    <row r="6" customFormat="false" ht="15" hidden="false" customHeight="false" outlineLevel="0" collapsed="false">
      <c r="B6" s="8" t="s">
        <v>26</v>
      </c>
      <c r="C6" s="8" t="s">
        <v>27</v>
      </c>
      <c r="D6" s="13" t="n">
        <v>0.45</v>
      </c>
      <c r="E6" s="13" t="n">
        <v>0.4</v>
      </c>
      <c r="F6" s="13" t="n">
        <v>0.1</v>
      </c>
      <c r="G6" s="13" t="n">
        <v>0.05</v>
      </c>
      <c r="H6" s="13" t="n">
        <v>0</v>
      </c>
      <c r="I6" s="13" t="n">
        <v>0</v>
      </c>
      <c r="J6" s="21" t="n">
        <f aca="false">SUM(D6:I6)</f>
        <v>1</v>
      </c>
      <c r="K6" s="22" t="str">
        <f aca="false">IF(ABS(J6-1)&gt;0.0001,"Mix must add to 100%","OK")</f>
        <v>OK</v>
      </c>
    </row>
    <row r="7" customFormat="false" ht="15" hidden="false" customHeight="false" outlineLevel="0" collapsed="false">
      <c r="B7" s="8" t="s">
        <v>28</v>
      </c>
      <c r="C7" s="8" t="s">
        <v>29</v>
      </c>
      <c r="D7" s="13" t="n">
        <v>0.3</v>
      </c>
      <c r="E7" s="13" t="n">
        <v>0.55</v>
      </c>
      <c r="F7" s="13" t="n">
        <v>0.1</v>
      </c>
      <c r="G7" s="13" t="n">
        <v>0.05</v>
      </c>
      <c r="H7" s="13" t="n">
        <v>0</v>
      </c>
      <c r="I7" s="13" t="n">
        <v>0</v>
      </c>
      <c r="J7" s="21" t="n">
        <f aca="false">SUM(D7:I7)</f>
        <v>1</v>
      </c>
      <c r="K7" s="22" t="str">
        <f aca="false">IF(ABS(J7-1)&gt;0.0001,"Mix must add to 100%","OK")</f>
        <v>OK</v>
      </c>
    </row>
    <row r="8" customFormat="false" ht="15" hidden="false" customHeight="false" outlineLevel="0" collapsed="false">
      <c r="B8" s="8" t="s">
        <v>30</v>
      </c>
      <c r="C8" s="8" t="s">
        <v>31</v>
      </c>
      <c r="D8" s="13" t="n">
        <v>0.4</v>
      </c>
      <c r="E8" s="13" t="n">
        <v>0.45</v>
      </c>
      <c r="F8" s="13" t="n">
        <v>0.1</v>
      </c>
      <c r="G8" s="13" t="n">
        <v>0.05</v>
      </c>
      <c r="H8" s="13" t="n">
        <v>0</v>
      </c>
      <c r="I8" s="13" t="n">
        <v>0</v>
      </c>
      <c r="J8" s="21" t="n">
        <f aca="false">SUM(D8:I8)</f>
        <v>1</v>
      </c>
      <c r="K8" s="22" t="str">
        <f aca="false">IF(ABS(J8-1)&gt;0.0001,"Mix must add to 100%","OK")</f>
        <v>OK</v>
      </c>
    </row>
    <row r="9" customFormat="false" ht="15" hidden="false" customHeight="false" outlineLevel="0" collapsed="false">
      <c r="B9" s="8" t="s">
        <v>32</v>
      </c>
      <c r="C9" s="8" t="s">
        <v>33</v>
      </c>
      <c r="D9" s="13" t="n">
        <v>0.5</v>
      </c>
      <c r="E9" s="13" t="n">
        <v>0.4</v>
      </c>
      <c r="F9" s="13" t="n">
        <v>0.1</v>
      </c>
      <c r="G9" s="13" t="n">
        <v>0</v>
      </c>
      <c r="H9" s="13" t="n">
        <v>0</v>
      </c>
      <c r="I9" s="13" t="n">
        <v>0</v>
      </c>
      <c r="J9" s="21" t="n">
        <f aca="false">SUM(D9:I9)</f>
        <v>1</v>
      </c>
      <c r="K9" s="22" t="str">
        <f aca="false">IF(ABS(J9-1)&gt;0.0001,"Mix must add to 100%","OK")</f>
        <v>OK</v>
      </c>
    </row>
    <row r="10" customFormat="false" ht="15" hidden="false" customHeight="false" outlineLevel="0" collapsed="false">
      <c r="B10" s="8" t="s">
        <v>34</v>
      </c>
      <c r="C10" s="8" t="s">
        <v>35</v>
      </c>
      <c r="D10" s="13" t="n">
        <v>0.65</v>
      </c>
      <c r="E10" s="13" t="n">
        <v>0.35</v>
      </c>
      <c r="F10" s="13" t="n">
        <v>0</v>
      </c>
      <c r="G10" s="13" t="n">
        <v>0</v>
      </c>
      <c r="H10" s="13" t="n">
        <v>0</v>
      </c>
      <c r="I10" s="13" t="n">
        <v>0</v>
      </c>
      <c r="J10" s="21" t="n">
        <f aca="false">SUM(D10:I10)</f>
        <v>1</v>
      </c>
      <c r="K10" s="22" t="str">
        <f aca="false">IF(ABS(J10-1)&gt;0.0001,"Mix must add to 100%","OK")</f>
        <v>OK</v>
      </c>
    </row>
    <row r="11" customFormat="false" ht="15" hidden="false" customHeight="false" outlineLevel="0" collapsed="false">
      <c r="B11" s="8" t="s">
        <v>36</v>
      </c>
      <c r="C11" s="8" t="s">
        <v>37</v>
      </c>
      <c r="D11" s="13" t="n">
        <v>0.7</v>
      </c>
      <c r="E11" s="13" t="n">
        <v>0.25</v>
      </c>
      <c r="F11" s="13" t="n">
        <v>0</v>
      </c>
      <c r="G11" s="13" t="n">
        <v>0</v>
      </c>
      <c r="H11" s="13" t="n">
        <v>0</v>
      </c>
      <c r="I11" s="13" t="n">
        <v>0.05</v>
      </c>
      <c r="J11" s="21" t="n">
        <f aca="false">SUM(D11:I11)</f>
        <v>1</v>
      </c>
      <c r="K11" s="22" t="str">
        <f aca="false">IF(ABS(J11-1)&gt;0.0001,"Mix must add to 100%","OK")</f>
        <v>OK</v>
      </c>
    </row>
    <row r="15" customFormat="false" ht="15" hidden="false" customHeight="false" outlineLevel="0" collapsed="false">
      <c r="B15" s="5" t="s">
        <v>62</v>
      </c>
      <c r="C15" s="23" t="s">
        <v>63</v>
      </c>
    </row>
    <row r="16" customFormat="false" ht="15" hidden="false" customHeight="false" outlineLevel="0" collapsed="false">
      <c r="B16" s="6" t="s">
        <v>23</v>
      </c>
      <c r="C16" s="6" t="s">
        <v>24</v>
      </c>
      <c r="D16" s="6" t="s">
        <v>41</v>
      </c>
      <c r="E16" s="6" t="s">
        <v>42</v>
      </c>
      <c r="F16" s="6" t="s">
        <v>43</v>
      </c>
      <c r="G16" s="6" t="s">
        <v>44</v>
      </c>
      <c r="H16" s="6" t="s">
        <v>45</v>
      </c>
      <c r="I16" s="6" t="s">
        <v>46</v>
      </c>
      <c r="J16" s="6" t="s">
        <v>38</v>
      </c>
      <c r="K16" s="6" t="s">
        <v>61</v>
      </c>
    </row>
    <row r="17" customFormat="false" ht="15" hidden="false" customHeight="false" outlineLevel="0" collapsed="false">
      <c r="B17" s="8" t="s">
        <v>26</v>
      </c>
      <c r="C17" s="8" t="s">
        <v>27</v>
      </c>
      <c r="D17" s="24" t="n">
        <v>0</v>
      </c>
      <c r="E17" s="25" t="n">
        <f aca="false">E6+1*$D6</f>
        <v>0.85</v>
      </c>
      <c r="F17" s="25" t="n">
        <f aca="false">F6</f>
        <v>0.1</v>
      </c>
      <c r="G17" s="25" t="n">
        <f aca="false">G6</f>
        <v>0.05</v>
      </c>
      <c r="H17" s="25" t="n">
        <f aca="false">H6</f>
        <v>0</v>
      </c>
      <c r="I17" s="25" t="n">
        <f aca="false">I6</f>
        <v>0</v>
      </c>
      <c r="J17" s="21" t="n">
        <f aca="false">SUM(D17:I17)</f>
        <v>1</v>
      </c>
      <c r="K17" s="22" t="str">
        <f aca="false">IF(ABS(J17-1)&gt;0.0001,"Mix must add to 100%","OK")</f>
        <v>OK</v>
      </c>
    </row>
    <row r="18" customFormat="false" ht="15" hidden="false" customHeight="false" outlineLevel="0" collapsed="false">
      <c r="B18" s="8" t="s">
        <v>28</v>
      </c>
      <c r="C18" s="8" t="s">
        <v>29</v>
      </c>
      <c r="D18" s="24" t="n">
        <v>0</v>
      </c>
      <c r="E18" s="25" t="n">
        <f aca="false">E7+1*$D7</f>
        <v>0.85</v>
      </c>
      <c r="F18" s="25" t="n">
        <f aca="false">F7</f>
        <v>0.1</v>
      </c>
      <c r="G18" s="25" t="n">
        <f aca="false">G7</f>
        <v>0.05</v>
      </c>
      <c r="H18" s="25" t="n">
        <f aca="false">H7</f>
        <v>0</v>
      </c>
      <c r="I18" s="25" t="n">
        <f aca="false">I7</f>
        <v>0</v>
      </c>
      <c r="J18" s="21" t="n">
        <f aca="false">SUM(D18:I18)</f>
        <v>1</v>
      </c>
      <c r="K18" s="22" t="str">
        <f aca="false">IF(ABS(J18-1)&gt;0.0001,"Mix must add to 100%","OK")</f>
        <v>OK</v>
      </c>
    </row>
    <row r="19" customFormat="false" ht="15" hidden="false" customHeight="false" outlineLevel="0" collapsed="false">
      <c r="B19" s="8" t="s">
        <v>30</v>
      </c>
      <c r="C19" s="8" t="s">
        <v>31</v>
      </c>
      <c r="D19" s="24" t="n">
        <v>0</v>
      </c>
      <c r="E19" s="25" t="n">
        <f aca="false">E8+1*$D8</f>
        <v>0.85</v>
      </c>
      <c r="F19" s="25" t="n">
        <f aca="false">F8</f>
        <v>0.1</v>
      </c>
      <c r="G19" s="25" t="n">
        <f aca="false">G8</f>
        <v>0.05</v>
      </c>
      <c r="H19" s="25" t="n">
        <f aca="false">H8</f>
        <v>0</v>
      </c>
      <c r="I19" s="25" t="n">
        <f aca="false">I8</f>
        <v>0</v>
      </c>
      <c r="J19" s="21" t="n">
        <f aca="false">SUM(D19:I19)</f>
        <v>1</v>
      </c>
      <c r="K19" s="22" t="str">
        <f aca="false">IF(ABS(J19-1)&gt;0.0001,"Mix must add to 100%","OK")</f>
        <v>OK</v>
      </c>
    </row>
    <row r="20" customFormat="false" ht="15" hidden="false" customHeight="false" outlineLevel="0" collapsed="false">
      <c r="B20" s="8" t="s">
        <v>32</v>
      </c>
      <c r="C20" s="8" t="s">
        <v>33</v>
      </c>
      <c r="D20" s="24" t="n">
        <v>0</v>
      </c>
      <c r="E20" s="25" t="n">
        <f aca="false">E9+1*$D9</f>
        <v>0.9</v>
      </c>
      <c r="F20" s="25" t="n">
        <f aca="false">F9</f>
        <v>0.1</v>
      </c>
      <c r="G20" s="25" t="n">
        <f aca="false">G9</f>
        <v>0</v>
      </c>
      <c r="H20" s="25" t="n">
        <f aca="false">H9</f>
        <v>0</v>
      </c>
      <c r="I20" s="25" t="n">
        <f aca="false">I9</f>
        <v>0</v>
      </c>
      <c r="J20" s="21" t="n">
        <f aca="false">SUM(D20:I20)</f>
        <v>1</v>
      </c>
      <c r="K20" s="22" t="str">
        <f aca="false">IF(ABS(J20-1)&gt;0.0001,"Mix must add to 100%","OK")</f>
        <v>OK</v>
      </c>
    </row>
    <row r="21" customFormat="false" ht="15" hidden="false" customHeight="false" outlineLevel="0" collapsed="false">
      <c r="B21" s="8" t="s">
        <v>34</v>
      </c>
      <c r="C21" s="8" t="s">
        <v>35</v>
      </c>
      <c r="D21" s="24" t="n">
        <v>0</v>
      </c>
      <c r="E21" s="25" t="n">
        <f aca="false">E10+1*$D10</f>
        <v>1</v>
      </c>
      <c r="F21" s="25" t="n">
        <f aca="false">F10</f>
        <v>0</v>
      </c>
      <c r="G21" s="25" t="n">
        <f aca="false">G10</f>
        <v>0</v>
      </c>
      <c r="H21" s="25" t="n">
        <f aca="false">H10</f>
        <v>0</v>
      </c>
      <c r="I21" s="25" t="n">
        <f aca="false">I10</f>
        <v>0</v>
      </c>
      <c r="J21" s="21" t="n">
        <f aca="false">SUM(D21:I21)</f>
        <v>1</v>
      </c>
      <c r="K21" s="22" t="str">
        <f aca="false">IF(ABS(J21-1)&gt;0.0001,"Mix must add to 100%","OK")</f>
        <v>OK</v>
      </c>
    </row>
    <row r="22" customFormat="false" ht="15" hidden="false" customHeight="false" outlineLevel="0" collapsed="false">
      <c r="B22" s="8" t="s">
        <v>36</v>
      </c>
      <c r="C22" s="8" t="s">
        <v>37</v>
      </c>
      <c r="D22" s="24" t="n">
        <v>0</v>
      </c>
      <c r="E22" s="25" t="n">
        <f aca="false">E11+1*$D11</f>
        <v>0.95</v>
      </c>
      <c r="F22" s="25" t="n">
        <f aca="false">F11</f>
        <v>0</v>
      </c>
      <c r="G22" s="25" t="n">
        <f aca="false">G11</f>
        <v>0</v>
      </c>
      <c r="H22" s="25" t="n">
        <f aca="false">H11</f>
        <v>0</v>
      </c>
      <c r="I22" s="25" t="n">
        <f aca="false">I11</f>
        <v>0.05</v>
      </c>
      <c r="J22" s="21" t="n">
        <f aca="false">SUM(D22:I22)</f>
        <v>1</v>
      </c>
      <c r="K22" s="22" t="str">
        <f aca="false">IF(ABS(J22-1)&gt;0.0001,"Mix must add to 100%","OK")</f>
        <v>OK</v>
      </c>
    </row>
    <row r="26" customFormat="false" ht="15" hidden="false" customHeight="false" outlineLevel="0" collapsed="false">
      <c r="B26" s="5" t="s">
        <v>64</v>
      </c>
      <c r="C26" s="23" t="s">
        <v>65</v>
      </c>
    </row>
    <row r="27" customFormat="false" ht="15" hidden="false" customHeight="false" outlineLevel="0" collapsed="false">
      <c r="B27" s="6" t="s">
        <v>23</v>
      </c>
      <c r="C27" s="6" t="s">
        <v>24</v>
      </c>
      <c r="D27" s="6" t="s">
        <v>41</v>
      </c>
      <c r="E27" s="6" t="s">
        <v>42</v>
      </c>
      <c r="F27" s="6" t="s">
        <v>43</v>
      </c>
      <c r="G27" s="6" t="s">
        <v>44</v>
      </c>
      <c r="H27" s="6" t="s">
        <v>45</v>
      </c>
      <c r="I27" s="6" t="s">
        <v>46</v>
      </c>
      <c r="J27" s="6" t="s">
        <v>38</v>
      </c>
      <c r="K27" s="6" t="s">
        <v>61</v>
      </c>
    </row>
    <row r="28" customFormat="false" ht="15" hidden="false" customHeight="false" outlineLevel="0" collapsed="false">
      <c r="B28" s="8" t="s">
        <v>26</v>
      </c>
      <c r="C28" s="8" t="s">
        <v>27</v>
      </c>
      <c r="D28" s="24" t="n">
        <v>0</v>
      </c>
      <c r="E28" s="25" t="n">
        <f aca="false">E6+0.4*$D6</f>
        <v>0.58</v>
      </c>
      <c r="F28" s="25" t="n">
        <f aca="false">F6</f>
        <v>0.1</v>
      </c>
      <c r="G28" s="25" t="n">
        <f aca="false">G6+0.3*$D6</f>
        <v>0.185</v>
      </c>
      <c r="H28" s="25" t="n">
        <f aca="false">H6+0.3*$D6</f>
        <v>0.135</v>
      </c>
      <c r="I28" s="25" t="n">
        <f aca="false">I6</f>
        <v>0</v>
      </c>
      <c r="J28" s="21" t="n">
        <f aca="false">SUM(D28:I28)</f>
        <v>1</v>
      </c>
      <c r="K28" s="22" t="str">
        <f aca="false">IF(ABS(J28-1)&gt;0.0001,"Mix must add to 100%","OK")</f>
        <v>OK</v>
      </c>
    </row>
    <row r="29" customFormat="false" ht="15" hidden="false" customHeight="false" outlineLevel="0" collapsed="false">
      <c r="B29" s="8" t="s">
        <v>28</v>
      </c>
      <c r="C29" s="8" t="s">
        <v>29</v>
      </c>
      <c r="D29" s="24" t="n">
        <v>0</v>
      </c>
      <c r="E29" s="25" t="n">
        <f aca="false">E7+0.4*$D7</f>
        <v>0.67</v>
      </c>
      <c r="F29" s="25" t="n">
        <f aca="false">F7</f>
        <v>0.1</v>
      </c>
      <c r="G29" s="25" t="n">
        <f aca="false">G7+0.3*$D7</f>
        <v>0.14</v>
      </c>
      <c r="H29" s="25" t="n">
        <f aca="false">H7+0.3*$D7</f>
        <v>0.09</v>
      </c>
      <c r="I29" s="25" t="n">
        <f aca="false">I7</f>
        <v>0</v>
      </c>
      <c r="J29" s="21" t="n">
        <f aca="false">SUM(D29:I29)</f>
        <v>1</v>
      </c>
      <c r="K29" s="22" t="str">
        <f aca="false">IF(ABS(J29-1)&gt;0.0001,"Mix must add to 100%","OK")</f>
        <v>OK</v>
      </c>
    </row>
    <row r="30" customFormat="false" ht="15" hidden="false" customHeight="false" outlineLevel="0" collapsed="false">
      <c r="B30" s="8" t="s">
        <v>30</v>
      </c>
      <c r="C30" s="8" t="s">
        <v>31</v>
      </c>
      <c r="D30" s="24" t="n">
        <v>0</v>
      </c>
      <c r="E30" s="25" t="n">
        <f aca="false">E8+0.4*$D8</f>
        <v>0.61</v>
      </c>
      <c r="F30" s="25" t="n">
        <f aca="false">F8</f>
        <v>0.1</v>
      </c>
      <c r="G30" s="25" t="n">
        <f aca="false">G8+0.3*$D8</f>
        <v>0.17</v>
      </c>
      <c r="H30" s="25" t="n">
        <f aca="false">H8+0.3*$D8</f>
        <v>0.12</v>
      </c>
      <c r="I30" s="25" t="n">
        <f aca="false">I8</f>
        <v>0</v>
      </c>
      <c r="J30" s="21" t="n">
        <f aca="false">SUM(D30:I30)</f>
        <v>1</v>
      </c>
      <c r="K30" s="22" t="str">
        <f aca="false">IF(ABS(J30-1)&gt;0.0001,"Mix must add to 100%","OK")</f>
        <v>OK</v>
      </c>
    </row>
    <row r="31" customFormat="false" ht="15" hidden="false" customHeight="false" outlineLevel="0" collapsed="false">
      <c r="B31" s="8" t="s">
        <v>32</v>
      </c>
      <c r="C31" s="8" t="s">
        <v>33</v>
      </c>
      <c r="D31" s="24" t="n">
        <v>0</v>
      </c>
      <c r="E31" s="25" t="n">
        <f aca="false">E9+0.4*$D9</f>
        <v>0.6</v>
      </c>
      <c r="F31" s="25" t="n">
        <f aca="false">F9</f>
        <v>0.1</v>
      </c>
      <c r="G31" s="25" t="n">
        <f aca="false">G9+0.3*$D9</f>
        <v>0.15</v>
      </c>
      <c r="H31" s="25" t="n">
        <f aca="false">H9+0.3*$D9</f>
        <v>0.15</v>
      </c>
      <c r="I31" s="25" t="n">
        <f aca="false">I9</f>
        <v>0</v>
      </c>
      <c r="J31" s="21" t="n">
        <f aca="false">SUM(D31:I31)</f>
        <v>1</v>
      </c>
      <c r="K31" s="22" t="str">
        <f aca="false">IF(ABS(J31-1)&gt;0.0001,"Mix must add to 100%","OK")</f>
        <v>OK</v>
      </c>
    </row>
    <row r="32" customFormat="false" ht="15" hidden="false" customHeight="false" outlineLevel="0" collapsed="false">
      <c r="B32" s="8" t="s">
        <v>34</v>
      </c>
      <c r="C32" s="8" t="s">
        <v>35</v>
      </c>
      <c r="D32" s="24" t="n">
        <v>0</v>
      </c>
      <c r="E32" s="25" t="n">
        <f aca="false">E10+0.4*$D10</f>
        <v>0.61</v>
      </c>
      <c r="F32" s="25" t="n">
        <f aca="false">F10</f>
        <v>0</v>
      </c>
      <c r="G32" s="25" t="n">
        <f aca="false">G10+0.3*$D10</f>
        <v>0.195</v>
      </c>
      <c r="H32" s="25" t="n">
        <f aca="false">H10+0.3*$D10</f>
        <v>0.195</v>
      </c>
      <c r="I32" s="25" t="n">
        <f aca="false">I10</f>
        <v>0</v>
      </c>
      <c r="J32" s="21" t="n">
        <f aca="false">SUM(D32:I32)</f>
        <v>1</v>
      </c>
      <c r="K32" s="22" t="str">
        <f aca="false">IF(ABS(J32-1)&gt;0.0001,"Mix must add to 100%","OK")</f>
        <v>OK</v>
      </c>
    </row>
    <row r="33" customFormat="false" ht="15" hidden="false" customHeight="false" outlineLevel="0" collapsed="false">
      <c r="B33" s="8" t="s">
        <v>36</v>
      </c>
      <c r="C33" s="8" t="s">
        <v>37</v>
      </c>
      <c r="D33" s="24" t="n">
        <v>0</v>
      </c>
      <c r="E33" s="25" t="n">
        <f aca="false">E11+0.4*$D11</f>
        <v>0.53</v>
      </c>
      <c r="F33" s="25" t="n">
        <f aca="false">F11</f>
        <v>0</v>
      </c>
      <c r="G33" s="25" t="n">
        <f aca="false">G11+0.3*$D11</f>
        <v>0.21</v>
      </c>
      <c r="H33" s="25" t="n">
        <f aca="false">H11+0.3*$D11</f>
        <v>0.21</v>
      </c>
      <c r="I33" s="25" t="n">
        <f aca="false">I11</f>
        <v>0.05</v>
      </c>
      <c r="J33" s="21" t="n">
        <f aca="false">SUM(D33:I33)</f>
        <v>1</v>
      </c>
      <c r="K33" s="22" t="str">
        <f aca="false">IF(ABS(J33-1)&gt;0.0001,"Mix must add to 100%","OK")</f>
        <v>OK</v>
      </c>
    </row>
    <row r="37" customFormat="false" ht="15" hidden="false" customHeight="false" outlineLevel="0" collapsed="false">
      <c r="B37" s="5" t="s">
        <v>66</v>
      </c>
      <c r="C37" s="23" t="s">
        <v>67</v>
      </c>
    </row>
    <row r="38" customFormat="false" ht="15" hidden="false" customHeight="false" outlineLevel="0" collapsed="false">
      <c r="B38" s="6" t="s">
        <v>23</v>
      </c>
      <c r="C38" s="6" t="s">
        <v>24</v>
      </c>
      <c r="D38" s="6" t="s">
        <v>41</v>
      </c>
      <c r="E38" s="6" t="s">
        <v>42</v>
      </c>
      <c r="F38" s="6" t="s">
        <v>43</v>
      </c>
      <c r="G38" s="6" t="s">
        <v>44</v>
      </c>
      <c r="H38" s="6" t="s">
        <v>45</v>
      </c>
      <c r="I38" s="6" t="s">
        <v>46</v>
      </c>
      <c r="J38" s="6" t="s">
        <v>38</v>
      </c>
      <c r="K38" s="6" t="s">
        <v>61</v>
      </c>
    </row>
    <row r="39" customFormat="false" ht="15" hidden="false" customHeight="false" outlineLevel="0" collapsed="false">
      <c r="B39" s="8" t="s">
        <v>26</v>
      </c>
      <c r="C39" s="8" t="s">
        <v>27</v>
      </c>
      <c r="D39" s="24" t="n">
        <v>0</v>
      </c>
      <c r="E39" s="25" t="n">
        <f aca="false">E6</f>
        <v>0.4</v>
      </c>
      <c r="F39" s="25" t="n">
        <f aca="false">F6</f>
        <v>0.1</v>
      </c>
      <c r="G39" s="25" t="n">
        <f aca="false">G6</f>
        <v>0.05</v>
      </c>
      <c r="H39" s="25" t="n">
        <f aca="false">H6</f>
        <v>0</v>
      </c>
      <c r="I39" s="25" t="n">
        <f aca="false">I6+1*$D6</f>
        <v>0.45</v>
      </c>
      <c r="J39" s="21" t="n">
        <f aca="false">SUM(D39:I39)</f>
        <v>1</v>
      </c>
      <c r="K39" s="22" t="str">
        <f aca="false">IF(ABS(J39-1)&gt;0.0001,"Mix must add to 100%","OK")</f>
        <v>OK</v>
      </c>
    </row>
    <row r="40" customFormat="false" ht="15" hidden="false" customHeight="false" outlineLevel="0" collapsed="false">
      <c r="B40" s="8" t="s">
        <v>28</v>
      </c>
      <c r="C40" s="8" t="s">
        <v>29</v>
      </c>
      <c r="D40" s="24" t="n">
        <v>0</v>
      </c>
      <c r="E40" s="25" t="n">
        <f aca="false">E7</f>
        <v>0.55</v>
      </c>
      <c r="F40" s="25" t="n">
        <f aca="false">F7</f>
        <v>0.1</v>
      </c>
      <c r="G40" s="25" t="n">
        <f aca="false">G7</f>
        <v>0.05</v>
      </c>
      <c r="H40" s="25" t="n">
        <f aca="false">H7</f>
        <v>0</v>
      </c>
      <c r="I40" s="25" t="n">
        <f aca="false">I7+1*$D7</f>
        <v>0.3</v>
      </c>
      <c r="J40" s="21" t="n">
        <f aca="false">SUM(D40:I40)</f>
        <v>1</v>
      </c>
      <c r="K40" s="22" t="str">
        <f aca="false">IF(ABS(J40-1)&gt;0.0001,"Mix must add to 100%","OK")</f>
        <v>OK</v>
      </c>
    </row>
    <row r="41" customFormat="false" ht="15" hidden="false" customHeight="false" outlineLevel="0" collapsed="false">
      <c r="B41" s="8" t="s">
        <v>30</v>
      </c>
      <c r="C41" s="8" t="s">
        <v>31</v>
      </c>
      <c r="D41" s="24" t="n">
        <v>0</v>
      </c>
      <c r="E41" s="25" t="n">
        <f aca="false">E8</f>
        <v>0.45</v>
      </c>
      <c r="F41" s="25" t="n">
        <f aca="false">F8</f>
        <v>0.1</v>
      </c>
      <c r="G41" s="25" t="n">
        <f aca="false">G8</f>
        <v>0.05</v>
      </c>
      <c r="H41" s="25" t="n">
        <f aca="false">H8</f>
        <v>0</v>
      </c>
      <c r="I41" s="25" t="n">
        <f aca="false">I8+1*$D8</f>
        <v>0.4</v>
      </c>
      <c r="J41" s="21" t="n">
        <f aca="false">SUM(D41:I41)</f>
        <v>1</v>
      </c>
      <c r="K41" s="22" t="str">
        <f aca="false">IF(ABS(J41-1)&gt;0.0001,"Mix must add to 100%","OK")</f>
        <v>OK</v>
      </c>
    </row>
    <row r="42" customFormat="false" ht="15" hidden="false" customHeight="false" outlineLevel="0" collapsed="false">
      <c r="B42" s="8" t="s">
        <v>32</v>
      </c>
      <c r="C42" s="8" t="s">
        <v>33</v>
      </c>
      <c r="D42" s="24" t="n">
        <v>0</v>
      </c>
      <c r="E42" s="25" t="n">
        <f aca="false">E9</f>
        <v>0.4</v>
      </c>
      <c r="F42" s="25" t="n">
        <f aca="false">F9</f>
        <v>0.1</v>
      </c>
      <c r="G42" s="25" t="n">
        <f aca="false">G9</f>
        <v>0</v>
      </c>
      <c r="H42" s="25" t="n">
        <f aca="false">H9</f>
        <v>0</v>
      </c>
      <c r="I42" s="25" t="n">
        <f aca="false">I9+1*$D9</f>
        <v>0.5</v>
      </c>
      <c r="J42" s="21" t="n">
        <f aca="false">SUM(D42:I42)</f>
        <v>1</v>
      </c>
      <c r="K42" s="22" t="str">
        <f aca="false">IF(ABS(J42-1)&gt;0.0001,"Mix must add to 100%","OK")</f>
        <v>OK</v>
      </c>
    </row>
    <row r="43" customFormat="false" ht="15" hidden="false" customHeight="false" outlineLevel="0" collapsed="false">
      <c r="B43" s="8" t="s">
        <v>34</v>
      </c>
      <c r="C43" s="8" t="s">
        <v>35</v>
      </c>
      <c r="D43" s="24" t="n">
        <v>0</v>
      </c>
      <c r="E43" s="25" t="n">
        <f aca="false">E10</f>
        <v>0.35</v>
      </c>
      <c r="F43" s="25" t="n">
        <f aca="false">F10</f>
        <v>0</v>
      </c>
      <c r="G43" s="25" t="n">
        <f aca="false">G10</f>
        <v>0</v>
      </c>
      <c r="H43" s="25" t="n">
        <f aca="false">H10</f>
        <v>0</v>
      </c>
      <c r="I43" s="25" t="n">
        <f aca="false">I10+1*$D10</f>
        <v>0.65</v>
      </c>
      <c r="J43" s="21" t="n">
        <f aca="false">SUM(D43:I43)</f>
        <v>1</v>
      </c>
      <c r="K43" s="22" t="str">
        <f aca="false">IF(ABS(J43-1)&gt;0.0001,"Mix must add to 100%","OK")</f>
        <v>OK</v>
      </c>
    </row>
    <row r="44" customFormat="false" ht="15" hidden="false" customHeight="false" outlineLevel="0" collapsed="false">
      <c r="B44" s="8" t="s">
        <v>36</v>
      </c>
      <c r="C44" s="8" t="s">
        <v>37</v>
      </c>
      <c r="D44" s="24" t="n">
        <v>0</v>
      </c>
      <c r="E44" s="25" t="n">
        <f aca="false">E11</f>
        <v>0.25</v>
      </c>
      <c r="F44" s="25" t="n">
        <f aca="false">F11</f>
        <v>0</v>
      </c>
      <c r="G44" s="25" t="n">
        <f aca="false">G11</f>
        <v>0</v>
      </c>
      <c r="H44" s="25" t="n">
        <f aca="false">H11</f>
        <v>0</v>
      </c>
      <c r="I44" s="25" t="n">
        <f aca="false">I11+1*$D11</f>
        <v>0.75</v>
      </c>
      <c r="J44" s="21" t="n">
        <f aca="false">SUM(D44:I44)</f>
        <v>1</v>
      </c>
      <c r="K44" s="22" t="str">
        <f aca="false">IF(ABS(J44-1)&gt;0.0001,"Mix must add to 100%","OK")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6" min="4" style="0" width="15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17.35" hidden="false" customHeight="false" outlineLevel="0" collapsed="false">
      <c r="B1" s="1" t="s">
        <v>68</v>
      </c>
    </row>
    <row r="2" customFormat="false" ht="15" hidden="false" customHeight="false" outlineLevel="0" collapsed="false">
      <c r="B2" s="4" t="s">
        <v>69</v>
      </c>
    </row>
    <row r="4" customFormat="false" ht="15" hidden="false" customHeight="false" outlineLevel="0" collapsed="false">
      <c r="B4" s="5" t="s">
        <v>70</v>
      </c>
    </row>
    <row r="5" customFormat="false" ht="23.85" hidden="false" customHeight="false" outlineLevel="0" collapsed="false">
      <c r="B5" s="6" t="s">
        <v>71</v>
      </c>
      <c r="C5" s="6" t="s">
        <v>72</v>
      </c>
      <c r="D5" s="6" t="s">
        <v>73</v>
      </c>
      <c r="E5" s="6" t="s">
        <v>74</v>
      </c>
      <c r="F5" s="6" t="s">
        <v>75</v>
      </c>
      <c r="G5" s="6" t="s">
        <v>76</v>
      </c>
      <c r="H5" s="6" t="s">
        <v>77</v>
      </c>
      <c r="I5" s="6" t="s">
        <v>78</v>
      </c>
    </row>
    <row r="6" customFormat="false" ht="15" hidden="false" customHeight="false" outlineLevel="0" collapsed="false">
      <c r="B6" s="8" t="n">
        <v>1</v>
      </c>
      <c r="C6" s="26" t="str">
        <f aca="false">Scenarios!C4</f>
        <v>Today's sourcing</v>
      </c>
      <c r="D6" s="27" t="n">
        <f aca="false">H22</f>
        <v>53139762.0151391</v>
      </c>
      <c r="E6" s="27" t="n">
        <f aca="false">D6-$D$6</f>
        <v>0</v>
      </c>
      <c r="F6" s="25" t="n">
        <f aca="false">IF($D$6=0,0,D6/$D$6-1)</f>
        <v>0</v>
      </c>
      <c r="G6" s="27" t="n">
        <f aca="false">F22</f>
        <v>10045894.8151391</v>
      </c>
      <c r="H6" s="25" t="n">
        <f aca="false">IF(D22=0,0,F22/D22)</f>
        <v>0.251147370378478</v>
      </c>
      <c r="I6" s="27" t="n">
        <f aca="false">D22</f>
        <v>40000000</v>
      </c>
    </row>
    <row r="7" customFormat="false" ht="15" hidden="false" customHeight="false" outlineLevel="0" collapsed="false">
      <c r="B7" s="8" t="n">
        <v>2</v>
      </c>
      <c r="C7" s="26" t="str">
        <f aca="false">Scenarios!C15</f>
        <v>Move China volume to Vietnam</v>
      </c>
      <c r="D7" s="27" t="n">
        <f aca="false">H32</f>
        <v>49897589.5080248</v>
      </c>
      <c r="E7" s="27" t="n">
        <f aca="false">D7-$D$6</f>
        <v>-3242172.50711433</v>
      </c>
      <c r="F7" s="25" t="n">
        <f aca="false">IF($D$6=0,0,D7/$D$6-1)</f>
        <v>-0.0610121758955311</v>
      </c>
      <c r="G7" s="27" t="n">
        <f aca="false">F32</f>
        <v>6711222.30802477</v>
      </c>
      <c r="H7" s="25" t="n">
        <f aca="false">IF(D32=0,0,F32/D32)</f>
        <v>0.167780557700619</v>
      </c>
      <c r="I7" s="27" t="n">
        <f aca="false">D32</f>
        <v>40000000</v>
      </c>
    </row>
    <row r="8" customFormat="false" ht="15" hidden="false" customHeight="false" outlineLevel="0" collapsed="false">
      <c r="B8" s="8" t="n">
        <v>3</v>
      </c>
      <c r="C8" s="26" t="str">
        <f aca="false">Scenarios!C26</f>
        <v>Spread China volume: Vietnam / Cambodia / Indonesia</v>
      </c>
      <c r="D8" s="27" t="n">
        <f aca="false">H42</f>
        <v>49862558.6569369</v>
      </c>
      <c r="E8" s="27" t="n">
        <f aca="false">D8-$D$6</f>
        <v>-3277203.35820218</v>
      </c>
      <c r="F8" s="25" t="n">
        <f aca="false">IF($D$6=0,0,D8/$D$6-1)</f>
        <v>-0.0616713969714153</v>
      </c>
      <c r="G8" s="27" t="n">
        <f aca="false">F42</f>
        <v>6620691.45693692</v>
      </c>
      <c r="H8" s="25" t="n">
        <f aca="false">IF(D42=0,0,F42/D42)</f>
        <v>0.165517286423423</v>
      </c>
      <c r="I8" s="27" t="n">
        <f aca="false">D42</f>
        <v>40000000</v>
      </c>
    </row>
    <row r="9" customFormat="false" ht="15" hidden="false" customHeight="false" outlineLevel="0" collapsed="false">
      <c r="B9" s="8" t="n">
        <v>4</v>
      </c>
      <c r="C9" s="26" t="str">
        <f aca="false">Scenarios!C37</f>
        <v>Nearshore China volume to Mexico</v>
      </c>
      <c r="D9" s="27" t="n">
        <f aca="false">H52</f>
        <v>48209107.0610566</v>
      </c>
      <c r="E9" s="27" t="n">
        <f aca="false">D9-$D$6</f>
        <v>-4930654.95408255</v>
      </c>
      <c r="F9" s="25" t="n">
        <f aca="false">IF($D$6=0,0,D9/$D$6-1)</f>
        <v>-0.0927865456506531</v>
      </c>
      <c r="G9" s="27" t="n">
        <f aca="false">F52</f>
        <v>5849948.86105655</v>
      </c>
      <c r="H9" s="25" t="n">
        <f aca="false">IF(D52=0,0,F52/D52)</f>
        <v>0.146248721526414</v>
      </c>
      <c r="I9" s="27" t="n">
        <f aca="false">D52</f>
        <v>40000000</v>
      </c>
    </row>
    <row r="11" customFormat="false" ht="15" hidden="false" customHeight="false" outlineLevel="0" collapsed="false">
      <c r="C11" s="4" t="s">
        <v>79</v>
      </c>
    </row>
    <row r="14" customFormat="false" ht="15" hidden="false" customHeight="false" outlineLevel="0" collapsed="false">
      <c r="B14" s="5" t="s">
        <v>59</v>
      </c>
      <c r="C14" s="28" t="str">
        <f aca="false">Scenarios!C4</f>
        <v>Today's sourcing</v>
      </c>
    </row>
    <row r="15" customFormat="false" ht="15" hidden="false" customHeight="false" outlineLevel="0" collapsed="false">
      <c r="B15" s="6" t="s">
        <v>23</v>
      </c>
      <c r="C15" s="6" t="s">
        <v>24</v>
      </c>
      <c r="D15" s="6" t="s">
        <v>78</v>
      </c>
      <c r="E15" s="6" t="s">
        <v>80</v>
      </c>
      <c r="F15" s="6" t="s">
        <v>81</v>
      </c>
      <c r="G15" s="6" t="s">
        <v>82</v>
      </c>
      <c r="H15" s="6" t="s">
        <v>73</v>
      </c>
      <c r="I15" s="6" t="s">
        <v>83</v>
      </c>
    </row>
    <row r="16" customFormat="false" ht="15" hidden="false" customHeight="false" outlineLevel="0" collapsed="false">
      <c r="B16" s="8" t="s">
        <v>26</v>
      </c>
      <c r="C16" s="8" t="s">
        <v>27</v>
      </c>
      <c r="D16" s="27" t="n">
        <f aca="false">Inputs!$D$6*SUMPRODUCT(Scenarios!$D$6:$I$6,Inputs!$D$16:$I$16)</f>
        <v>12000000</v>
      </c>
      <c r="E16" s="27" t="n">
        <f aca="false">Inputs!$D$6*SUMPRODUCT(Scenarios!$D$6:$I$6,Inputs!$D$16:$I$16,Inputs!$D$17:$I$17)</f>
        <v>876000</v>
      </c>
      <c r="F16" s="27" t="n">
        <f aca="false">Inputs!$D$6*SUMPRODUCT(Scenarios!$D$6:$I$6,Inputs!$D$16:$I$16,Inputs!$D$37:$I$37)</f>
        <v>3757195.35075282</v>
      </c>
      <c r="G16" s="27" t="n">
        <f aca="false">Inputs!$D$6*SUMPRODUCT(Scenarios!$D$6:$I$6,Inputs!$D$16:$I$16,Inputs!$D$24:$I$24)</f>
        <v>56568</v>
      </c>
      <c r="H16" s="29" t="n">
        <f aca="false">SUM(D16:G16)</f>
        <v>16689763.3507528</v>
      </c>
      <c r="I16" s="25" t="n">
        <f aca="false">IF(D16=0,0,F16/D16)</f>
        <v>0.313099612562735</v>
      </c>
    </row>
    <row r="17" customFormat="false" ht="15" hidden="false" customHeight="false" outlineLevel="0" collapsed="false">
      <c r="B17" s="8" t="s">
        <v>28</v>
      </c>
      <c r="C17" s="8" t="s">
        <v>29</v>
      </c>
      <c r="D17" s="27" t="n">
        <f aca="false">Inputs!$D$7*SUMPRODUCT(Scenarios!$D$7:$I$7,Inputs!$D$16:$I$16)</f>
        <v>8000000</v>
      </c>
      <c r="E17" s="27" t="n">
        <f aca="false">Inputs!$D$7*SUMPRODUCT(Scenarios!$D$7:$I$7,Inputs!$D$16:$I$16,Inputs!$D$17:$I$17)</f>
        <v>590000</v>
      </c>
      <c r="F17" s="27" t="n">
        <f aca="false">Inputs!$D$7*SUMPRODUCT(Scenarios!$D$7:$I$7,Inputs!$D$16:$I$16,Inputs!$D$38:$I$38)</f>
        <v>1431904.91201226</v>
      </c>
      <c r="G17" s="27" t="n">
        <f aca="false">Inputs!$D$7*SUMPRODUCT(Scenarios!$D$7:$I$7,Inputs!$D$16:$I$16,Inputs!$D$24:$I$24)</f>
        <v>37712</v>
      </c>
      <c r="H17" s="29" t="n">
        <f aca="false">SUM(D17:G17)</f>
        <v>10059616.9120123</v>
      </c>
      <c r="I17" s="25" t="n">
        <f aca="false">IF(D17=0,0,F17/D17)</f>
        <v>0.178988114001533</v>
      </c>
    </row>
    <row r="18" customFormat="false" ht="15" hidden="false" customHeight="false" outlineLevel="0" collapsed="false">
      <c r="B18" s="8" t="s">
        <v>30</v>
      </c>
      <c r="C18" s="8" t="s">
        <v>31</v>
      </c>
      <c r="D18" s="27" t="n">
        <f aca="false">Inputs!$D$8*SUMPRODUCT(Scenarios!$D$8:$I$8,Inputs!$D$16:$I$16)</f>
        <v>7000000</v>
      </c>
      <c r="E18" s="27" t="n">
        <f aca="false">Inputs!$D$8*SUMPRODUCT(Scenarios!$D$8:$I$8,Inputs!$D$16:$I$16,Inputs!$D$17:$I$17)</f>
        <v>512750</v>
      </c>
      <c r="F18" s="27" t="n">
        <f aca="false">Inputs!$D$8*SUMPRODUCT(Scenarios!$D$8:$I$8,Inputs!$D$16:$I$16,Inputs!$D$39:$I$39)</f>
        <v>1528842.54191094</v>
      </c>
      <c r="G18" s="27" t="n">
        <f aca="false">Inputs!$D$8*SUMPRODUCT(Scenarios!$D$8:$I$8,Inputs!$D$16:$I$16,Inputs!$D$24:$I$24)</f>
        <v>32998</v>
      </c>
      <c r="H18" s="29" t="n">
        <f aca="false">SUM(D18:G18)</f>
        <v>9074590.54191094</v>
      </c>
      <c r="I18" s="25" t="n">
        <f aca="false">IF(D18=0,0,F18/D18)</f>
        <v>0.218406077415848</v>
      </c>
    </row>
    <row r="19" customFormat="false" ht="15" hidden="false" customHeight="false" outlineLevel="0" collapsed="false">
      <c r="B19" s="8" t="s">
        <v>32</v>
      </c>
      <c r="C19" s="8" t="s">
        <v>33</v>
      </c>
      <c r="D19" s="27" t="n">
        <f aca="false">Inputs!$D$9*SUMPRODUCT(Scenarios!$D$9:$I$9,Inputs!$D$16:$I$16)</f>
        <v>5000000</v>
      </c>
      <c r="E19" s="27" t="n">
        <f aca="false">Inputs!$D$9*SUMPRODUCT(Scenarios!$D$9:$I$9,Inputs!$D$16:$I$16,Inputs!$D$17:$I$17)</f>
        <v>362500</v>
      </c>
      <c r="F19" s="27" t="n">
        <f aca="false">Inputs!$D$9*SUMPRODUCT(Scenarios!$D$9:$I$9,Inputs!$D$16:$I$16,Inputs!$D$40:$I$40)</f>
        <v>1524030.0713381</v>
      </c>
      <c r="G19" s="27" t="n">
        <f aca="false">Inputs!$D$9*SUMPRODUCT(Scenarios!$D$9:$I$9,Inputs!$D$16:$I$16,Inputs!$D$24:$I$24)</f>
        <v>23570</v>
      </c>
      <c r="H19" s="29" t="n">
        <f aca="false">SUM(D19:G19)</f>
        <v>6910100.0713381</v>
      </c>
      <c r="I19" s="25" t="n">
        <f aca="false">IF(D19=0,0,F19/D19)</f>
        <v>0.304806014267619</v>
      </c>
    </row>
    <row r="20" customFormat="false" ht="15" hidden="false" customHeight="false" outlineLevel="0" collapsed="false">
      <c r="B20" s="8" t="s">
        <v>34</v>
      </c>
      <c r="C20" s="8" t="s">
        <v>35</v>
      </c>
      <c r="D20" s="27" t="n">
        <f aca="false">Inputs!$D$10*SUMPRODUCT(Scenarios!$D$10:$I$10,Inputs!$D$16:$I$16)</f>
        <v>4000000</v>
      </c>
      <c r="E20" s="27" t="n">
        <f aca="false">Inputs!$D$10*SUMPRODUCT(Scenarios!$D$10:$I$10,Inputs!$D$16:$I$16,Inputs!$D$17:$I$17)</f>
        <v>287000</v>
      </c>
      <c r="F20" s="27" t="n">
        <f aca="false">Inputs!$D$10*SUMPRODUCT(Scenarios!$D$10:$I$10,Inputs!$D$16:$I$16,Inputs!$D$41:$I$41)</f>
        <v>653592.559084409</v>
      </c>
      <c r="G20" s="27" t="n">
        <f aca="false">Inputs!$D$10*SUMPRODUCT(Scenarios!$D$10:$I$10,Inputs!$D$16:$I$16,Inputs!$D$24:$I$24)</f>
        <v>18856</v>
      </c>
      <c r="H20" s="29" t="n">
        <f aca="false">SUM(D20:G20)</f>
        <v>4959448.55908441</v>
      </c>
      <c r="I20" s="25" t="n">
        <f aca="false">IF(D20=0,0,F20/D20)</f>
        <v>0.163398139771102</v>
      </c>
    </row>
    <row r="21" customFormat="false" ht="15" hidden="false" customHeight="false" outlineLevel="0" collapsed="false">
      <c r="B21" s="8" t="s">
        <v>36</v>
      </c>
      <c r="C21" s="8" t="s">
        <v>37</v>
      </c>
      <c r="D21" s="27" t="n">
        <f aca="false">Inputs!$D$11*SUMPRODUCT(Scenarios!$D$11:$I$11,Inputs!$D$16:$I$16)</f>
        <v>4000000</v>
      </c>
      <c r="E21" s="27" t="n">
        <f aca="false">Inputs!$D$11*SUMPRODUCT(Scenarios!$D$11:$I$11,Inputs!$D$16:$I$16,Inputs!$D$17:$I$17)</f>
        <v>278000</v>
      </c>
      <c r="F21" s="27" t="n">
        <f aca="false">Inputs!$D$11*SUMPRODUCT(Scenarios!$D$11:$I$11,Inputs!$D$16:$I$16,Inputs!$D$42:$I$42)</f>
        <v>1150329.38004058</v>
      </c>
      <c r="G21" s="27" t="n">
        <f aca="false">Inputs!$D$11*SUMPRODUCT(Scenarios!$D$11:$I$11,Inputs!$D$16:$I$16,Inputs!$D$24:$I$24)</f>
        <v>17913.2</v>
      </c>
      <c r="H21" s="29" t="n">
        <f aca="false">SUM(D21:G21)</f>
        <v>5446242.58004058</v>
      </c>
      <c r="I21" s="25" t="n">
        <f aca="false">IF(D21=0,0,F21/D21)</f>
        <v>0.287582345010144</v>
      </c>
    </row>
    <row r="22" customFormat="false" ht="15" hidden="false" customHeight="false" outlineLevel="0" collapsed="false">
      <c r="C22" s="10" t="s">
        <v>38</v>
      </c>
      <c r="D22" s="11" t="n">
        <f aca="false">SUM(D16:D21)</f>
        <v>40000000</v>
      </c>
      <c r="E22" s="11" t="n">
        <f aca="false">SUM(E16:E21)</f>
        <v>2906250</v>
      </c>
      <c r="F22" s="11" t="n">
        <f aca="false">SUM(F16:F21)</f>
        <v>10045894.8151391</v>
      </c>
      <c r="G22" s="11" t="n">
        <f aca="false">SUM(G16:G21)</f>
        <v>187617.2</v>
      </c>
      <c r="H22" s="11" t="n">
        <f aca="false">SUM(H16:H21)</f>
        <v>53139762.0151391</v>
      </c>
      <c r="I22" s="21" t="n">
        <f aca="false">IF(D22=0,0,F22/D22)</f>
        <v>0.251147370378478</v>
      </c>
    </row>
    <row r="24" customFormat="false" ht="15" hidden="false" customHeight="false" outlineLevel="0" collapsed="false">
      <c r="B24" s="5" t="s">
        <v>62</v>
      </c>
      <c r="C24" s="28" t="str">
        <f aca="false">Scenarios!C15</f>
        <v>Move China volume to Vietnam</v>
      </c>
    </row>
    <row r="25" customFormat="false" ht="15" hidden="false" customHeight="false" outlineLevel="0" collapsed="false">
      <c r="B25" s="6" t="s">
        <v>23</v>
      </c>
      <c r="C25" s="6" t="s">
        <v>24</v>
      </c>
      <c r="D25" s="6" t="s">
        <v>78</v>
      </c>
      <c r="E25" s="6" t="s">
        <v>80</v>
      </c>
      <c r="F25" s="6" t="s">
        <v>81</v>
      </c>
      <c r="G25" s="6" t="s">
        <v>82</v>
      </c>
      <c r="H25" s="6" t="s">
        <v>73</v>
      </c>
      <c r="I25" s="6" t="s">
        <v>83</v>
      </c>
    </row>
    <row r="26" customFormat="false" ht="15" hidden="false" customHeight="false" outlineLevel="0" collapsed="false">
      <c r="B26" s="8" t="s">
        <v>26</v>
      </c>
      <c r="C26" s="8" t="s">
        <v>27</v>
      </c>
      <c r="D26" s="27" t="n">
        <f aca="false">Inputs!$D$6*SUMPRODUCT(Scenarios!$D$17:$I$17,Inputs!$D$16:$I$16)</f>
        <v>12000000</v>
      </c>
      <c r="E26" s="27" t="n">
        <f aca="false">Inputs!$D$6*SUMPRODUCT(Scenarios!$D$17:$I$17,Inputs!$D$16:$I$16,Inputs!$D$17:$I$17)</f>
        <v>903000</v>
      </c>
      <c r="F26" s="27" t="n">
        <f aca="false">Inputs!$D$6*SUMPRODUCT(Scenarios!$D$17:$I$17,Inputs!$D$16:$I$16,Inputs!$D$37:$I$37)</f>
        <v>2972615.81632493</v>
      </c>
      <c r="G26" s="27" t="n">
        <f aca="false">Inputs!$D$6*SUMPRODUCT(Scenarios!$D$17:$I$17,Inputs!$D$16:$I$16,Inputs!$D$24:$I$24)</f>
        <v>56568</v>
      </c>
      <c r="H26" s="29" t="n">
        <f aca="false">SUM(D26:G26)</f>
        <v>15932183.8163249</v>
      </c>
      <c r="I26" s="25" t="n">
        <f aca="false">IF(D26=0,0,F26/D26)</f>
        <v>0.247717984693744</v>
      </c>
    </row>
    <row r="27" customFormat="false" ht="15" hidden="false" customHeight="false" outlineLevel="0" collapsed="false">
      <c r="B27" s="8" t="s">
        <v>28</v>
      </c>
      <c r="C27" s="8" t="s">
        <v>29</v>
      </c>
      <c r="D27" s="27" t="n">
        <f aca="false">Inputs!$D$7*SUMPRODUCT(Scenarios!$D$18:$I$18,Inputs!$D$16:$I$16)</f>
        <v>8000000</v>
      </c>
      <c r="E27" s="27" t="n">
        <f aca="false">Inputs!$D$7*SUMPRODUCT(Scenarios!$D$18:$I$18,Inputs!$D$16:$I$16,Inputs!$D$17:$I$17)</f>
        <v>602000</v>
      </c>
      <c r="F27" s="27" t="n">
        <f aca="false">Inputs!$D$7*SUMPRODUCT(Scenarios!$D$18:$I$18,Inputs!$D$16:$I$16,Inputs!$D$38:$I$38)</f>
        <v>833556.594494138</v>
      </c>
      <c r="G27" s="27" t="n">
        <f aca="false">Inputs!$D$7*SUMPRODUCT(Scenarios!$D$18:$I$18,Inputs!$D$16:$I$16,Inputs!$D$24:$I$24)</f>
        <v>37712</v>
      </c>
      <c r="H27" s="29" t="n">
        <f aca="false">SUM(D27:G27)</f>
        <v>9473268.59449414</v>
      </c>
      <c r="I27" s="25" t="n">
        <f aca="false">IF(D27=0,0,F27/D27)</f>
        <v>0.104194574311767</v>
      </c>
    </row>
    <row r="28" customFormat="false" ht="15" hidden="false" customHeight="false" outlineLevel="0" collapsed="false">
      <c r="B28" s="8" t="s">
        <v>30</v>
      </c>
      <c r="C28" s="8" t="s">
        <v>31</v>
      </c>
      <c r="D28" s="27" t="n">
        <f aca="false">Inputs!$D$8*SUMPRODUCT(Scenarios!$D$19:$I$19,Inputs!$D$16:$I$16)</f>
        <v>7000000</v>
      </c>
      <c r="E28" s="27" t="n">
        <f aca="false">Inputs!$D$8*SUMPRODUCT(Scenarios!$D$19:$I$19,Inputs!$D$16:$I$16,Inputs!$D$17:$I$17)</f>
        <v>526750</v>
      </c>
      <c r="F28" s="27" t="n">
        <f aca="false">Inputs!$D$8*SUMPRODUCT(Scenarios!$D$19:$I$19,Inputs!$D$16:$I$16,Inputs!$D$39:$I$39)</f>
        <v>899365.054012382</v>
      </c>
      <c r="G28" s="27" t="n">
        <f aca="false">Inputs!$D$8*SUMPRODUCT(Scenarios!$D$19:$I$19,Inputs!$D$16:$I$16,Inputs!$D$24:$I$24)</f>
        <v>32998</v>
      </c>
      <c r="H28" s="29" t="n">
        <f aca="false">SUM(D28:G28)</f>
        <v>8459113.05401238</v>
      </c>
      <c r="I28" s="25" t="n">
        <f aca="false">IF(D28=0,0,F28/D28)</f>
        <v>0.128480722001769</v>
      </c>
    </row>
    <row r="29" customFormat="false" ht="15" hidden="false" customHeight="false" outlineLevel="0" collapsed="false">
      <c r="B29" s="8" t="s">
        <v>32</v>
      </c>
      <c r="C29" s="8" t="s">
        <v>33</v>
      </c>
      <c r="D29" s="27" t="n">
        <f aca="false">Inputs!$D$9*SUMPRODUCT(Scenarios!$D$20:$I$20,Inputs!$D$16:$I$16)</f>
        <v>5000000</v>
      </c>
      <c r="E29" s="27" t="n">
        <f aca="false">Inputs!$D$9*SUMPRODUCT(Scenarios!$D$20:$I$20,Inputs!$D$16:$I$16,Inputs!$D$17:$I$17)</f>
        <v>375000</v>
      </c>
      <c r="F29" s="27" t="n">
        <f aca="false">Inputs!$D$9*SUMPRODUCT(Scenarios!$D$20:$I$20,Inputs!$D$16:$I$16,Inputs!$D$40:$I$40)</f>
        <v>1148384.5606581</v>
      </c>
      <c r="G29" s="27" t="n">
        <f aca="false">Inputs!$D$9*SUMPRODUCT(Scenarios!$D$20:$I$20,Inputs!$D$16:$I$16,Inputs!$D$24:$I$24)</f>
        <v>23570</v>
      </c>
      <c r="H29" s="29" t="n">
        <f aca="false">SUM(D29:G29)</f>
        <v>6546954.5606581</v>
      </c>
      <c r="I29" s="25" t="n">
        <f aca="false">IF(D29=0,0,F29/D29)</f>
        <v>0.229676912131619</v>
      </c>
    </row>
    <row r="30" customFormat="false" ht="15" hidden="false" customHeight="false" outlineLevel="0" collapsed="false">
      <c r="B30" s="8" t="s">
        <v>34</v>
      </c>
      <c r="C30" s="8" t="s">
        <v>35</v>
      </c>
      <c r="D30" s="27" t="n">
        <f aca="false">Inputs!$D$10*SUMPRODUCT(Scenarios!$D$21:$I$21,Inputs!$D$16:$I$16)</f>
        <v>4000000</v>
      </c>
      <c r="E30" s="27" t="n">
        <f aca="false">Inputs!$D$10*SUMPRODUCT(Scenarios!$D$21:$I$21,Inputs!$D$16:$I$16,Inputs!$D$17:$I$17)</f>
        <v>300000</v>
      </c>
      <c r="F30" s="27" t="n">
        <f aca="false">Inputs!$D$10*SUMPRODUCT(Scenarios!$D$21:$I$21,Inputs!$D$16:$I$16,Inputs!$D$41:$I$41)</f>
        <v>409230.927685164</v>
      </c>
      <c r="G30" s="27" t="n">
        <f aca="false">Inputs!$D$10*SUMPRODUCT(Scenarios!$D$21:$I$21,Inputs!$D$16:$I$16,Inputs!$D$24:$I$24)</f>
        <v>18856</v>
      </c>
      <c r="H30" s="29" t="n">
        <f aca="false">SUM(D30:G30)</f>
        <v>4728086.92768516</v>
      </c>
      <c r="I30" s="25" t="n">
        <f aca="false">IF(D30=0,0,F30/D30)</f>
        <v>0.102307731921291</v>
      </c>
    </row>
    <row r="31" customFormat="false" ht="15" hidden="false" customHeight="false" outlineLevel="0" collapsed="false">
      <c r="B31" s="8" t="s">
        <v>36</v>
      </c>
      <c r="C31" s="8" t="s">
        <v>37</v>
      </c>
      <c r="D31" s="27" t="n">
        <f aca="false">Inputs!$D$11*SUMPRODUCT(Scenarios!$D$22:$I$22,Inputs!$D$16:$I$16)</f>
        <v>4000000</v>
      </c>
      <c r="E31" s="27" t="n">
        <f aca="false">Inputs!$D$11*SUMPRODUCT(Scenarios!$D$22:$I$22,Inputs!$D$16:$I$16,Inputs!$D$17:$I$17)</f>
        <v>292000</v>
      </c>
      <c r="F31" s="27" t="n">
        <f aca="false">Inputs!$D$11*SUMPRODUCT(Scenarios!$D$22:$I$22,Inputs!$D$16:$I$16,Inputs!$D$42:$I$42)</f>
        <v>448069.354850061</v>
      </c>
      <c r="G31" s="27" t="n">
        <f aca="false">Inputs!$D$11*SUMPRODUCT(Scenarios!$D$22:$I$22,Inputs!$D$16:$I$16,Inputs!$D$24:$I$24)</f>
        <v>17913.2</v>
      </c>
      <c r="H31" s="29" t="n">
        <f aca="false">SUM(D31:G31)</f>
        <v>4757982.55485006</v>
      </c>
      <c r="I31" s="25" t="n">
        <f aca="false">IF(D31=0,0,F31/D31)</f>
        <v>0.112017338712515</v>
      </c>
    </row>
    <row r="32" customFormat="false" ht="15" hidden="false" customHeight="false" outlineLevel="0" collapsed="false">
      <c r="C32" s="10" t="s">
        <v>38</v>
      </c>
      <c r="D32" s="11" t="n">
        <f aca="false">SUM(D26:D31)</f>
        <v>40000000</v>
      </c>
      <c r="E32" s="11" t="n">
        <f aca="false">SUM(E26:E31)</f>
        <v>2998750</v>
      </c>
      <c r="F32" s="11" t="n">
        <f aca="false">SUM(F26:F31)</f>
        <v>6711222.30802477</v>
      </c>
      <c r="G32" s="11" t="n">
        <f aca="false">SUM(G26:G31)</f>
        <v>187617.2</v>
      </c>
      <c r="H32" s="11" t="n">
        <f aca="false">SUM(H26:H31)</f>
        <v>49897589.5080248</v>
      </c>
      <c r="I32" s="21" t="n">
        <f aca="false">IF(D32=0,0,F32/D32)</f>
        <v>0.167780557700619</v>
      </c>
    </row>
    <row r="34" customFormat="false" ht="15" hidden="false" customHeight="false" outlineLevel="0" collapsed="false">
      <c r="B34" s="5" t="s">
        <v>64</v>
      </c>
      <c r="C34" s="28" t="str">
        <f aca="false">Scenarios!C26</f>
        <v>Spread China volume: Vietnam / Cambodia / Indonesia</v>
      </c>
    </row>
    <row r="35" customFormat="false" ht="15" hidden="false" customHeight="false" outlineLevel="0" collapsed="false">
      <c r="B35" s="6" t="s">
        <v>23</v>
      </c>
      <c r="C35" s="6" t="s">
        <v>24</v>
      </c>
      <c r="D35" s="6" t="s">
        <v>78</v>
      </c>
      <c r="E35" s="6" t="s">
        <v>80</v>
      </c>
      <c r="F35" s="6" t="s">
        <v>81</v>
      </c>
      <c r="G35" s="6" t="s">
        <v>82</v>
      </c>
      <c r="H35" s="6" t="s">
        <v>73</v>
      </c>
      <c r="I35" s="6" t="s">
        <v>83</v>
      </c>
    </row>
    <row r="36" customFormat="false" ht="15" hidden="false" customHeight="false" outlineLevel="0" collapsed="false">
      <c r="B36" s="8" t="s">
        <v>26</v>
      </c>
      <c r="C36" s="8" t="s">
        <v>27</v>
      </c>
      <c r="D36" s="27" t="n">
        <f aca="false">Inputs!$D$6*SUMPRODUCT(Scenarios!$D$28:$I$28,Inputs!$D$16:$I$16)</f>
        <v>12000000</v>
      </c>
      <c r="E36" s="27" t="n">
        <f aca="false">Inputs!$D$6*SUMPRODUCT(Scenarios!$D$28:$I$28,Inputs!$D$16:$I$16,Inputs!$D$17:$I$17)</f>
        <v>919200</v>
      </c>
      <c r="F36" s="27" t="n">
        <f aca="false">Inputs!$D$6*SUMPRODUCT(Scenarios!$D$28:$I$28,Inputs!$D$16:$I$16,Inputs!$D$37:$I$37)</f>
        <v>2950296.06906824</v>
      </c>
      <c r="G36" s="27" t="n">
        <f aca="false">Inputs!$D$6*SUMPRODUCT(Scenarios!$D$28:$I$28,Inputs!$D$16:$I$16,Inputs!$D$24:$I$24)</f>
        <v>56568</v>
      </c>
      <c r="H36" s="29" t="n">
        <f aca="false">SUM(D36:G36)</f>
        <v>15926064.0690682</v>
      </c>
      <c r="I36" s="25" t="n">
        <f aca="false">IF(D36=0,0,F36/D36)</f>
        <v>0.245858005755686</v>
      </c>
    </row>
    <row r="37" customFormat="false" ht="15" hidden="false" customHeight="false" outlineLevel="0" collapsed="false">
      <c r="B37" s="8" t="s">
        <v>28</v>
      </c>
      <c r="C37" s="8" t="s">
        <v>29</v>
      </c>
      <c r="D37" s="27" t="n">
        <f aca="false">Inputs!$D$7*SUMPRODUCT(Scenarios!$D$29:$I$29,Inputs!$D$16:$I$16)</f>
        <v>8000000</v>
      </c>
      <c r="E37" s="27" t="n">
        <f aca="false">Inputs!$D$7*SUMPRODUCT(Scenarios!$D$29:$I$29,Inputs!$D$16:$I$16,Inputs!$D$17:$I$17)</f>
        <v>609200</v>
      </c>
      <c r="F37" s="27" t="n">
        <f aca="false">Inputs!$D$7*SUMPRODUCT(Scenarios!$D$29:$I$29,Inputs!$D$16:$I$16,Inputs!$D$38:$I$38)</f>
        <v>817926.036054417</v>
      </c>
      <c r="G37" s="27" t="n">
        <f aca="false">Inputs!$D$7*SUMPRODUCT(Scenarios!$D$29:$I$29,Inputs!$D$16:$I$16,Inputs!$D$24:$I$24)</f>
        <v>37712</v>
      </c>
      <c r="H37" s="29" t="n">
        <f aca="false">SUM(D37:G37)</f>
        <v>9464838.03605442</v>
      </c>
      <c r="I37" s="25" t="n">
        <f aca="false">IF(D37=0,0,F37/D37)</f>
        <v>0.102240754506802</v>
      </c>
    </row>
    <row r="38" customFormat="false" ht="15" hidden="false" customHeight="false" outlineLevel="0" collapsed="false">
      <c r="B38" s="8" t="s">
        <v>30</v>
      </c>
      <c r="C38" s="8" t="s">
        <v>31</v>
      </c>
      <c r="D38" s="27" t="n">
        <f aca="false">Inputs!$D$8*SUMPRODUCT(Scenarios!$D$30:$I$30,Inputs!$D$16:$I$16)</f>
        <v>7000000</v>
      </c>
      <c r="E38" s="27" t="n">
        <f aca="false">Inputs!$D$8*SUMPRODUCT(Scenarios!$D$30:$I$30,Inputs!$D$16:$I$16,Inputs!$D$17:$I$17)</f>
        <v>535150</v>
      </c>
      <c r="F38" s="27" t="n">
        <f aca="false">Inputs!$D$8*SUMPRODUCT(Scenarios!$D$30:$I$30,Inputs!$D$16:$I$16,Inputs!$D$39:$I$39)</f>
        <v>873394.671888811</v>
      </c>
      <c r="G38" s="27" t="n">
        <f aca="false">Inputs!$D$8*SUMPRODUCT(Scenarios!$D$30:$I$30,Inputs!$D$16:$I$16,Inputs!$D$24:$I$24)</f>
        <v>32998</v>
      </c>
      <c r="H38" s="29" t="n">
        <f aca="false">SUM(D38:G38)</f>
        <v>8441542.67188881</v>
      </c>
      <c r="I38" s="25" t="n">
        <f aca="false">IF(D38=0,0,F38/D38)</f>
        <v>0.124770667412687</v>
      </c>
    </row>
    <row r="39" customFormat="false" ht="15" hidden="false" customHeight="false" outlineLevel="0" collapsed="false">
      <c r="B39" s="8" t="s">
        <v>32</v>
      </c>
      <c r="C39" s="8" t="s">
        <v>33</v>
      </c>
      <c r="D39" s="27" t="n">
        <f aca="false">Inputs!$D$9*SUMPRODUCT(Scenarios!$D$31:$I$31,Inputs!$D$16:$I$16)</f>
        <v>5000000</v>
      </c>
      <c r="E39" s="27" t="n">
        <f aca="false">Inputs!$D$9*SUMPRODUCT(Scenarios!$D$31:$I$31,Inputs!$D$16:$I$16,Inputs!$D$17:$I$17)</f>
        <v>382500</v>
      </c>
      <c r="F39" s="27" t="n">
        <f aca="false">Inputs!$D$9*SUMPRODUCT(Scenarios!$D$31:$I$31,Inputs!$D$16:$I$16,Inputs!$D$40:$I$40)</f>
        <v>1167668.93053619</v>
      </c>
      <c r="G39" s="27" t="n">
        <f aca="false">Inputs!$D$9*SUMPRODUCT(Scenarios!$D$31:$I$31,Inputs!$D$16:$I$16,Inputs!$D$24:$I$24)</f>
        <v>23570</v>
      </c>
      <c r="H39" s="29" t="n">
        <f aca="false">SUM(D39:G39)</f>
        <v>6573738.93053619</v>
      </c>
      <c r="I39" s="25" t="n">
        <f aca="false">IF(D39=0,0,F39/D39)</f>
        <v>0.233533786107238</v>
      </c>
    </row>
    <row r="40" customFormat="false" ht="15" hidden="false" customHeight="false" outlineLevel="0" collapsed="false">
      <c r="B40" s="8" t="s">
        <v>34</v>
      </c>
      <c r="C40" s="8" t="s">
        <v>35</v>
      </c>
      <c r="D40" s="27" t="n">
        <f aca="false">Inputs!$D$10*SUMPRODUCT(Scenarios!$D$32:$I$32,Inputs!$D$16:$I$16)</f>
        <v>4000000</v>
      </c>
      <c r="E40" s="27" t="n">
        <f aca="false">Inputs!$D$10*SUMPRODUCT(Scenarios!$D$32:$I$32,Inputs!$D$16:$I$16,Inputs!$D$17:$I$17)</f>
        <v>307800</v>
      </c>
      <c r="F40" s="27" t="n">
        <f aca="false">Inputs!$D$10*SUMPRODUCT(Scenarios!$D$32:$I$32,Inputs!$D$16:$I$16,Inputs!$D$41:$I$41)</f>
        <v>391722.890820608</v>
      </c>
      <c r="G40" s="27" t="n">
        <f aca="false">Inputs!$D$10*SUMPRODUCT(Scenarios!$D$32:$I$32,Inputs!$D$16:$I$16,Inputs!$D$24:$I$24)</f>
        <v>18856</v>
      </c>
      <c r="H40" s="29" t="n">
        <f aca="false">SUM(D40:G40)</f>
        <v>4718378.89082061</v>
      </c>
      <c r="I40" s="25" t="n">
        <f aca="false">IF(D40=0,0,F40/D40)</f>
        <v>0.0979307227051521</v>
      </c>
    </row>
    <row r="41" customFormat="false" ht="15" hidden="false" customHeight="false" outlineLevel="0" collapsed="false">
      <c r="B41" s="8" t="s">
        <v>36</v>
      </c>
      <c r="C41" s="8" t="s">
        <v>37</v>
      </c>
      <c r="D41" s="27" t="n">
        <f aca="false">Inputs!$D$11*SUMPRODUCT(Scenarios!$D$33:$I$33,Inputs!$D$16:$I$16)</f>
        <v>4000000</v>
      </c>
      <c r="E41" s="27" t="n">
        <f aca="false">Inputs!$D$11*SUMPRODUCT(Scenarios!$D$33:$I$33,Inputs!$D$16:$I$16,Inputs!$D$17:$I$17)</f>
        <v>300400</v>
      </c>
      <c r="F41" s="27" t="n">
        <f aca="false">Inputs!$D$11*SUMPRODUCT(Scenarios!$D$33:$I$33,Inputs!$D$16:$I$16,Inputs!$D$42:$I$42)</f>
        <v>419682.858568657</v>
      </c>
      <c r="G41" s="27" t="n">
        <f aca="false">Inputs!$D$11*SUMPRODUCT(Scenarios!$D$33:$I$33,Inputs!$D$16:$I$16,Inputs!$D$24:$I$24)</f>
        <v>17913.2</v>
      </c>
      <c r="H41" s="29" t="n">
        <f aca="false">SUM(D41:G41)</f>
        <v>4737996.05856866</v>
      </c>
      <c r="I41" s="25" t="n">
        <f aca="false">IF(D41=0,0,F41/D41)</f>
        <v>0.104920714642164</v>
      </c>
    </row>
    <row r="42" customFormat="false" ht="15" hidden="false" customHeight="false" outlineLevel="0" collapsed="false">
      <c r="C42" s="10" t="s">
        <v>38</v>
      </c>
      <c r="D42" s="11" t="n">
        <f aca="false">SUM(D36:D41)</f>
        <v>40000000</v>
      </c>
      <c r="E42" s="11" t="n">
        <f aca="false">SUM(E36:E41)</f>
        <v>3054250</v>
      </c>
      <c r="F42" s="11" t="n">
        <f aca="false">SUM(F36:F41)</f>
        <v>6620691.45693692</v>
      </c>
      <c r="G42" s="11" t="n">
        <f aca="false">SUM(G36:G41)</f>
        <v>187617.2</v>
      </c>
      <c r="H42" s="11" t="n">
        <f aca="false">SUM(H36:H41)</f>
        <v>49862558.6569369</v>
      </c>
      <c r="I42" s="21" t="n">
        <f aca="false">IF(D42=0,0,F42/D42)</f>
        <v>0.165517286423423</v>
      </c>
    </row>
    <row r="44" customFormat="false" ht="15" hidden="false" customHeight="false" outlineLevel="0" collapsed="false">
      <c r="B44" s="5" t="s">
        <v>66</v>
      </c>
      <c r="C44" s="28" t="str">
        <f aca="false">Scenarios!C37</f>
        <v>Nearshore China volume to Mexico</v>
      </c>
    </row>
    <row r="45" customFormat="false" ht="15" hidden="false" customHeight="false" outlineLevel="0" collapsed="false">
      <c r="B45" s="6" t="s">
        <v>23</v>
      </c>
      <c r="C45" s="6" t="s">
        <v>24</v>
      </c>
      <c r="D45" s="6" t="s">
        <v>78</v>
      </c>
      <c r="E45" s="6" t="s">
        <v>80</v>
      </c>
      <c r="F45" s="6" t="s">
        <v>81</v>
      </c>
      <c r="G45" s="6" t="s">
        <v>82</v>
      </c>
      <c r="H45" s="6" t="s">
        <v>73</v>
      </c>
      <c r="I45" s="6" t="s">
        <v>83</v>
      </c>
    </row>
    <row r="46" customFormat="false" ht="15" hidden="false" customHeight="false" outlineLevel="0" collapsed="false">
      <c r="B46" s="8" t="s">
        <v>26</v>
      </c>
      <c r="C46" s="8" t="s">
        <v>27</v>
      </c>
      <c r="D46" s="27" t="n">
        <f aca="false">Inputs!$D$6*SUMPRODUCT(Scenarios!$D$39:$I$39,Inputs!$D$16:$I$16)</f>
        <v>12000000</v>
      </c>
      <c r="E46" s="27" t="n">
        <f aca="false">Inputs!$D$6*SUMPRODUCT(Scenarios!$D$39:$I$39,Inputs!$D$16:$I$16,Inputs!$D$17:$I$17)</f>
        <v>687000</v>
      </c>
      <c r="F46" s="27" t="n">
        <f aca="false">Inputs!$D$6*SUMPRODUCT(Scenarios!$D$39:$I$39,Inputs!$D$16:$I$16,Inputs!$D$37:$I$37)</f>
        <v>2955068.33851047</v>
      </c>
      <c r="G46" s="27" t="n">
        <f aca="false">Inputs!$D$6*SUMPRODUCT(Scenarios!$D$39:$I$39,Inputs!$D$16:$I$16,Inputs!$D$24:$I$24)</f>
        <v>31112.4</v>
      </c>
      <c r="H46" s="29" t="n">
        <f aca="false">SUM(D46:G46)</f>
        <v>15673180.7385105</v>
      </c>
      <c r="I46" s="25" t="n">
        <f aca="false">IF(D46=0,0,F46/D46)</f>
        <v>0.246255694875873</v>
      </c>
    </row>
    <row r="47" customFormat="false" ht="15" hidden="false" customHeight="false" outlineLevel="0" collapsed="false">
      <c r="B47" s="8" t="s">
        <v>28</v>
      </c>
      <c r="C47" s="8" t="s">
        <v>29</v>
      </c>
      <c r="D47" s="27" t="n">
        <f aca="false">Inputs!$D$7*SUMPRODUCT(Scenarios!$D$40:$I$40,Inputs!$D$16:$I$16)</f>
        <v>8000000</v>
      </c>
      <c r="E47" s="27" t="n">
        <f aca="false">Inputs!$D$7*SUMPRODUCT(Scenarios!$D$40:$I$40,Inputs!$D$16:$I$16,Inputs!$D$17:$I$17)</f>
        <v>506000</v>
      </c>
      <c r="F47" s="27" t="n">
        <f aca="false">Inputs!$D$7*SUMPRODUCT(Scenarios!$D$40:$I$40,Inputs!$D$16:$I$16,Inputs!$D$38:$I$38)</f>
        <v>580278.479840262</v>
      </c>
      <c r="G47" s="27" t="n">
        <f aca="false">Inputs!$D$7*SUMPRODUCT(Scenarios!$D$40:$I$40,Inputs!$D$16:$I$16,Inputs!$D$24:$I$24)</f>
        <v>26398.4</v>
      </c>
      <c r="H47" s="29" t="n">
        <f aca="false">SUM(D47:G47)</f>
        <v>9112676.87984026</v>
      </c>
      <c r="I47" s="25" t="n">
        <f aca="false">IF(D47=0,0,F47/D47)</f>
        <v>0.0725348099800327</v>
      </c>
    </row>
    <row r="48" customFormat="false" ht="15" hidden="false" customHeight="false" outlineLevel="0" collapsed="false">
      <c r="B48" s="8" t="s">
        <v>30</v>
      </c>
      <c r="C48" s="8" t="s">
        <v>31</v>
      </c>
      <c r="D48" s="27" t="n">
        <f aca="false">Inputs!$D$8*SUMPRODUCT(Scenarios!$D$41:$I$41,Inputs!$D$16:$I$16)</f>
        <v>7000000</v>
      </c>
      <c r="E48" s="27" t="n">
        <f aca="false">Inputs!$D$8*SUMPRODUCT(Scenarios!$D$41:$I$41,Inputs!$D$16:$I$16,Inputs!$D$17:$I$17)</f>
        <v>414750</v>
      </c>
      <c r="F48" s="27" t="n">
        <f aca="false">Inputs!$D$8*SUMPRODUCT(Scenarios!$D$41:$I$41,Inputs!$D$16:$I$16,Inputs!$D$39:$I$39)</f>
        <v>773375.483808228</v>
      </c>
      <c r="G48" s="27" t="n">
        <f aca="false">Inputs!$D$8*SUMPRODUCT(Scenarios!$D$41:$I$41,Inputs!$D$16:$I$16,Inputs!$D$24:$I$24)</f>
        <v>19798.8</v>
      </c>
      <c r="H48" s="29" t="n">
        <f aca="false">SUM(D48:G48)</f>
        <v>8207924.28380823</v>
      </c>
      <c r="I48" s="25" t="n">
        <f aca="false">IF(D48=0,0,F48/D48)</f>
        <v>0.110482211972604</v>
      </c>
    </row>
    <row r="49" customFormat="false" ht="15" hidden="false" customHeight="false" outlineLevel="0" collapsed="false">
      <c r="B49" s="8" t="s">
        <v>32</v>
      </c>
      <c r="C49" s="8" t="s">
        <v>33</v>
      </c>
      <c r="D49" s="27" t="n">
        <f aca="false">Inputs!$D$9*SUMPRODUCT(Scenarios!$D$42:$I$42,Inputs!$D$16:$I$16)</f>
        <v>5000000</v>
      </c>
      <c r="E49" s="27" t="n">
        <f aca="false">Inputs!$D$9*SUMPRODUCT(Scenarios!$D$42:$I$42,Inputs!$D$16:$I$16,Inputs!$D$17:$I$17)</f>
        <v>275000</v>
      </c>
      <c r="F49" s="27" t="n">
        <f aca="false">Inputs!$D$9*SUMPRODUCT(Scenarios!$D$42:$I$42,Inputs!$D$16:$I$16,Inputs!$D$40:$I$40)</f>
        <v>1132755.15769201</v>
      </c>
      <c r="G49" s="27" t="n">
        <f aca="false">Inputs!$D$9*SUMPRODUCT(Scenarios!$D$42:$I$42,Inputs!$D$16:$I$16,Inputs!$D$24:$I$24)</f>
        <v>11785</v>
      </c>
      <c r="H49" s="29" t="n">
        <f aca="false">SUM(D49:G49)</f>
        <v>6419540.15769201</v>
      </c>
      <c r="I49" s="25" t="n">
        <f aca="false">IF(D49=0,0,F49/D49)</f>
        <v>0.226551031538403</v>
      </c>
    </row>
    <row r="50" customFormat="false" ht="15" hidden="false" customHeight="false" outlineLevel="0" collapsed="false">
      <c r="B50" s="8" t="s">
        <v>34</v>
      </c>
      <c r="C50" s="8" t="s">
        <v>35</v>
      </c>
      <c r="D50" s="27" t="n">
        <f aca="false">Inputs!$D$10*SUMPRODUCT(Scenarios!$D$43:$I$43,Inputs!$D$16:$I$16)</f>
        <v>4000000</v>
      </c>
      <c r="E50" s="27" t="n">
        <f aca="false">Inputs!$D$10*SUMPRODUCT(Scenarios!$D$43:$I$43,Inputs!$D$16:$I$16,Inputs!$D$17:$I$17)</f>
        <v>196000</v>
      </c>
      <c r="F50" s="27" t="n">
        <f aca="false">Inputs!$D$10*SUMPRODUCT(Scenarios!$D$43:$I$43,Inputs!$D$16:$I$16,Inputs!$D$41:$I$41)</f>
        <v>154489.682154511</v>
      </c>
      <c r="G50" s="27" t="n">
        <f aca="false">Inputs!$D$10*SUMPRODUCT(Scenarios!$D$43:$I$43,Inputs!$D$16:$I$16,Inputs!$D$24:$I$24)</f>
        <v>6599.6</v>
      </c>
      <c r="H50" s="29" t="n">
        <f aca="false">SUM(D50:G50)</f>
        <v>4357089.28215451</v>
      </c>
      <c r="I50" s="25" t="n">
        <f aca="false">IF(D50=0,0,F50/D50)</f>
        <v>0.0386224205386278</v>
      </c>
    </row>
    <row r="51" customFormat="false" ht="15" hidden="false" customHeight="false" outlineLevel="0" collapsed="false">
      <c r="B51" s="8" t="s">
        <v>36</v>
      </c>
      <c r="C51" s="8" t="s">
        <v>37</v>
      </c>
      <c r="D51" s="27" t="n">
        <f aca="false">Inputs!$D$11*SUMPRODUCT(Scenarios!$D$44:$I$44,Inputs!$D$16:$I$16)</f>
        <v>4000000</v>
      </c>
      <c r="E51" s="27" t="n">
        <f aca="false">Inputs!$D$11*SUMPRODUCT(Scenarios!$D$44:$I$44,Inputs!$D$16:$I$16,Inputs!$D$17:$I$17)</f>
        <v>180000</v>
      </c>
      <c r="F51" s="27" t="n">
        <f aca="false">Inputs!$D$11*SUMPRODUCT(Scenarios!$D$44:$I$44,Inputs!$D$16:$I$16,Inputs!$D$42:$I$42)</f>
        <v>253981.719051067</v>
      </c>
      <c r="G51" s="27" t="n">
        <f aca="false">Inputs!$D$11*SUMPRODUCT(Scenarios!$D$44:$I$44,Inputs!$D$16:$I$16,Inputs!$D$24:$I$24)</f>
        <v>4714</v>
      </c>
      <c r="H51" s="29" t="n">
        <f aca="false">SUM(D51:G51)</f>
        <v>4438695.71905107</v>
      </c>
      <c r="I51" s="25" t="n">
        <f aca="false">IF(D51=0,0,F51/D51)</f>
        <v>0.0634954297627667</v>
      </c>
    </row>
    <row r="52" customFormat="false" ht="15" hidden="false" customHeight="false" outlineLevel="0" collapsed="false">
      <c r="C52" s="10" t="s">
        <v>38</v>
      </c>
      <c r="D52" s="11" t="n">
        <f aca="false">SUM(D46:D51)</f>
        <v>40000000</v>
      </c>
      <c r="E52" s="11" t="n">
        <f aca="false">SUM(E46:E51)</f>
        <v>2258750</v>
      </c>
      <c r="F52" s="11" t="n">
        <f aca="false">SUM(F46:F51)</f>
        <v>5849948.86105655</v>
      </c>
      <c r="G52" s="11" t="n">
        <f aca="false">SUM(G46:G51)</f>
        <v>100408.2</v>
      </c>
      <c r="H52" s="11" t="n">
        <f aca="false">SUM(H46:H51)</f>
        <v>48209107.0610566</v>
      </c>
      <c r="I52" s="21" t="n">
        <f aca="false">IF(D52=0,0,F52/D52)</f>
        <v>0.146248721526414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8" min="4" style="0" width="13"/>
  </cols>
  <sheetData>
    <row r="1" customFormat="false" ht="17.35" hidden="false" customHeight="false" outlineLevel="0" collapsed="false">
      <c r="B1" s="1" t="s">
        <v>84</v>
      </c>
    </row>
    <row r="2" customFormat="false" ht="15" hidden="false" customHeight="false" outlineLevel="0" collapsed="false">
      <c r="B2" s="4" t="s">
        <v>85</v>
      </c>
    </row>
    <row r="4" customFormat="false" ht="15" hidden="false" customHeight="false" outlineLevel="0" collapsed="false">
      <c r="B4" s="6" t="s">
        <v>23</v>
      </c>
      <c r="C4" s="6" t="s">
        <v>24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46</v>
      </c>
    </row>
    <row r="5" customFormat="false" ht="15" hidden="false" customHeight="false" outlineLevel="0" collapsed="false">
      <c r="B5" s="8" t="s">
        <v>26</v>
      </c>
      <c r="C5" s="8" t="s">
        <v>27</v>
      </c>
      <c r="D5" s="25" t="n">
        <f aca="false">(1+Inputs!$D$17+Inputs!$D$37+Inputs!$D$24)/(1+Inputs!E$17+Inputs!E$37+Inputs!E$24)-1</f>
        <v>0.105663656278428</v>
      </c>
      <c r="E5" s="25" t="n">
        <f aca="false">(1+Inputs!$D$17+Inputs!$D$37+Inputs!$D$24)/(1+Inputs!F$17+Inputs!F$37+Inputs!F$24)-1</f>
        <v>0.100912830289498</v>
      </c>
      <c r="F5" s="25" t="n">
        <f aca="false">(1+Inputs!$D$17+Inputs!$D$37+Inputs!$D$24)/(1+Inputs!G$17+Inputs!G$37+Inputs!G$24)-1</f>
        <v>0.116055482956497</v>
      </c>
      <c r="G5" s="25" t="n">
        <f aca="false">(1+Inputs!$D$17+Inputs!$D$37+Inputs!$D$24)/(1+Inputs!H$17+Inputs!H$37+Inputs!H$24)-1</f>
        <v>0.0985603316797956</v>
      </c>
      <c r="H5" s="25" t="n">
        <f aca="false">(1+Inputs!$D$17+Inputs!$D$37+Inputs!$D$24)/(1+Inputs!I$17+Inputs!I$37+Inputs!I$24)-1</f>
        <v>0.14710219541255</v>
      </c>
    </row>
    <row r="6" customFormat="false" ht="15" hidden="false" customHeight="false" outlineLevel="0" collapsed="false">
      <c r="B6" s="8" t="s">
        <v>28</v>
      </c>
      <c r="C6" s="8" t="s">
        <v>29</v>
      </c>
      <c r="D6" s="25" t="n">
        <f aca="false">(1+Inputs!$D$17+Inputs!$D$38+Inputs!$D$24)/(1+Inputs!E$17+Inputs!E$38+Inputs!E$24)-1</f>
        <v>0.206106260080324</v>
      </c>
      <c r="E6" s="25" t="n">
        <f aca="false">(1+Inputs!$D$17+Inputs!$D$38+Inputs!$D$24)/(1+Inputs!F$17+Inputs!F$38+Inputs!F$24)-1</f>
        <v>0.216765864612371</v>
      </c>
      <c r="F6" s="25" t="n">
        <f aca="false">(1+Inputs!$D$17+Inputs!$D$38+Inputs!$D$24)/(1+Inputs!G$17+Inputs!G$38+Inputs!G$24)-1</f>
        <v>0.209598922652243</v>
      </c>
      <c r="G6" s="25" t="n">
        <f aca="false">(1+Inputs!$D$17+Inputs!$D$38+Inputs!$D$24)/(1+Inputs!H$17+Inputs!H$38+Inputs!H$24)-1</f>
        <v>0.214596998205688</v>
      </c>
      <c r="H6" s="25" t="n">
        <f aca="false">(1+Inputs!$D$17+Inputs!$D$38+Inputs!$D$24)/(1+Inputs!I$17+Inputs!I$38+Inputs!I$24)-1</f>
        <v>0.381171005224395</v>
      </c>
    </row>
    <row r="7" customFormat="false" ht="15" hidden="false" customHeight="false" outlineLevel="0" collapsed="false">
      <c r="B7" s="8" t="s">
        <v>30</v>
      </c>
      <c r="C7" s="8" t="s">
        <v>31</v>
      </c>
      <c r="D7" s="25" t="n">
        <f aca="false">(1+Inputs!$D$17+Inputs!$D$39+Inputs!$D$24)/(1+Inputs!E$17+Inputs!E$39+Inputs!E$24)-1</f>
        <v>0.181246282213632</v>
      </c>
      <c r="E7" s="25" t="n">
        <f aca="false">(1+Inputs!$D$17+Inputs!$D$39+Inputs!$D$24)/(1+Inputs!F$17+Inputs!F$39+Inputs!F$24)-1</f>
        <v>0.210927721018061</v>
      </c>
      <c r="F7" s="25" t="n">
        <f aca="false">(1+Inputs!$D$17+Inputs!$D$39+Inputs!$D$24)/(1+Inputs!G$17+Inputs!G$39+Inputs!G$24)-1</f>
        <v>0.208570377113502</v>
      </c>
      <c r="G7" s="25" t="n">
        <f aca="false">(1+Inputs!$D$17+Inputs!$D$39+Inputs!$D$24)/(1+Inputs!H$17+Inputs!H$39+Inputs!H$24)-1</f>
        <v>0.174946831958769</v>
      </c>
      <c r="H7" s="25" t="n">
        <f aca="false">(1+Inputs!$D$17+Inputs!$D$39+Inputs!$D$24)/(1+Inputs!I$17+Inputs!I$39+Inputs!I$24)-1</f>
        <v>0.275602967286639</v>
      </c>
    </row>
    <row r="8" customFormat="false" ht="15" hidden="false" customHeight="false" outlineLevel="0" collapsed="false">
      <c r="B8" s="8" t="s">
        <v>32</v>
      </c>
      <c r="C8" s="8" t="s">
        <v>33</v>
      </c>
      <c r="D8" s="25" t="n">
        <f aca="false">(1+Inputs!$D$17+Inputs!$D$40+Inputs!$D$24)/(1+Inputs!E$17+Inputs!E$40+Inputs!E$24)-1</f>
        <v>0.111018386335437</v>
      </c>
      <c r="E8" s="25" t="n">
        <f aca="false">(1+Inputs!$D$17+Inputs!$D$40+Inputs!$D$24)/(1+Inputs!F$17+Inputs!F$40+Inputs!F$24)-1</f>
        <v>0.102799153223753</v>
      </c>
      <c r="F8" s="25" t="n">
        <f aca="false">(1+Inputs!$D$17+Inputs!$D$40+Inputs!$D$24)/(1+Inputs!G$17+Inputs!G$40+Inputs!G$24)-1</f>
        <v>0.100916722791133</v>
      </c>
      <c r="G8" s="25" t="n">
        <f aca="false">(1+Inputs!$D$17+Inputs!$D$40+Inputs!$D$24)/(1+Inputs!H$17+Inputs!H$40+Inputs!H$24)-1</f>
        <v>0.091246344476861</v>
      </c>
      <c r="H8" s="25" t="n">
        <f aca="false">(1+Inputs!$D$17+Inputs!$D$40+Inputs!$D$24)/(1+Inputs!I$17+Inputs!I$40+Inputs!I$24)-1</f>
        <v>0.156049122062757</v>
      </c>
    </row>
    <row r="9" customFormat="false" ht="15" hidden="false" customHeight="false" outlineLevel="0" collapsed="false">
      <c r="B9" s="8" t="s">
        <v>34</v>
      </c>
      <c r="C9" s="8" t="s">
        <v>35</v>
      </c>
      <c r="D9" s="25" t="n">
        <f aca="false">(1+Inputs!$D$17+Inputs!$D$41+Inputs!$D$24)/(1+Inputs!E$17+Inputs!E$41+Inputs!E$24)-1</f>
        <v>0.0752822392708672</v>
      </c>
      <c r="E9" s="25" t="n">
        <f aca="false">(1+Inputs!$D$17+Inputs!$D$41+Inputs!$D$24)/(1+Inputs!F$17+Inputs!F$41+Inputs!F$24)-1</f>
        <v>0.0455435808117393</v>
      </c>
      <c r="F9" s="25" t="n">
        <f aca="false">(1+Inputs!$D$17+Inputs!$D$41+Inputs!$D$24)/(1+Inputs!G$17+Inputs!G$41+Inputs!G$24)-1</f>
        <v>0.080251166516393</v>
      </c>
      <c r="G9" s="25" t="n">
        <f aca="false">(1+Inputs!$D$17+Inputs!$D$41+Inputs!$D$24)/(1+Inputs!H$17+Inputs!H$41+Inputs!H$24)-1</f>
        <v>0.0816964814995478</v>
      </c>
      <c r="H9" s="25" t="n">
        <f aca="false">(1+Inputs!$D$17+Inputs!$D$41+Inputs!$D$24)/(1+Inputs!I$17+Inputs!I$41+Inputs!I$24)-1</f>
        <v>0.222909539278942</v>
      </c>
    </row>
    <row r="10" customFormat="false" ht="15" hidden="false" customHeight="false" outlineLevel="0" collapsed="false">
      <c r="B10" s="8" t="s">
        <v>36</v>
      </c>
      <c r="C10" s="8" t="s">
        <v>37</v>
      </c>
      <c r="D10" s="25" t="n">
        <f aca="false">(1+Inputs!$D$17+Inputs!$D$42+Inputs!$D$24)/(1+Inputs!E$17+Inputs!E$42+Inputs!E$24)-1</f>
        <v>0.205662424613858</v>
      </c>
      <c r="E10" s="25" t="n">
        <f aca="false">(1+Inputs!$D$17+Inputs!$D$42+Inputs!$D$24)/(1+Inputs!F$17+Inputs!F$42+Inputs!F$24)-1</f>
        <v>0.214761581114151</v>
      </c>
      <c r="F10" s="25" t="n">
        <f aca="false">(1+Inputs!$D$17+Inputs!$D$42+Inputs!$D$24)/(1+Inputs!G$17+Inputs!G$42+Inputs!G$24)-1</f>
        <v>0.219880727628951</v>
      </c>
      <c r="G10" s="25" t="n">
        <f aca="false">(1+Inputs!$D$17+Inputs!$D$42+Inputs!$D$24)/(1+Inputs!H$17+Inputs!H$42+Inputs!H$24)-1</f>
        <v>0.215694412589073</v>
      </c>
      <c r="H10" s="25" t="n">
        <f aca="false">(1+Inputs!$D$17+Inputs!$D$42+Inputs!$D$24)/(1+Inputs!I$17+Inputs!I$42+Inputs!I$24)-1</f>
        <v>0.332824104599616</v>
      </c>
    </row>
    <row r="12" customFormat="false" ht="15" hidden="false" customHeight="true" outlineLevel="0" collapsed="false">
      <c r="C12" s="30" t="s">
        <v>86</v>
      </c>
      <c r="D12" s="30"/>
      <c r="E12" s="30"/>
      <c r="F12" s="30"/>
      <c r="G12" s="30"/>
      <c r="H12" s="30"/>
    </row>
    <row r="13" customFormat="false" ht="15" hidden="false" customHeight="false" outlineLevel="0" collapsed="false">
      <c r="C13" s="30"/>
      <c r="D13" s="30"/>
      <c r="E13" s="30"/>
      <c r="F13" s="30"/>
      <c r="G13" s="30"/>
      <c r="H13" s="30"/>
    </row>
    <row r="14" customFormat="false" ht="15" hidden="false" customHeight="false" outlineLevel="0" collapsed="false">
      <c r="C14" s="30"/>
      <c r="D14" s="30"/>
      <c r="E14" s="30"/>
      <c r="F14" s="30"/>
      <c r="G14" s="30"/>
      <c r="H14" s="30"/>
    </row>
  </sheetData>
  <mergeCells count="1">
    <mergeCell ref="C12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9" min="4" style="0" width="13"/>
  </cols>
  <sheetData>
    <row r="1" customFormat="false" ht="17.35" hidden="false" customHeight="false" outlineLevel="0" collapsed="false">
      <c r="B1" s="1" t="s">
        <v>87</v>
      </c>
    </row>
    <row r="2" customFormat="false" ht="15" hidden="false" customHeight="false" outlineLevel="0" collapsed="false">
      <c r="B2" s="4" t="s">
        <v>88</v>
      </c>
    </row>
    <row r="4" customFormat="false" ht="15" hidden="false" customHeight="false" outlineLevel="0" collapsed="false">
      <c r="B4" s="5" t="s">
        <v>89</v>
      </c>
    </row>
    <row r="5" customFormat="false" ht="15" hidden="false" customHeight="false" outlineLevel="0" collapsed="false">
      <c r="B5" s="6" t="s">
        <v>23</v>
      </c>
      <c r="C5" s="6" t="s">
        <v>24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</row>
    <row r="6" customFormat="false" ht="15" hidden="false" customHeight="false" outlineLevel="0" collapsed="false">
      <c r="B6" s="8" t="s">
        <v>26</v>
      </c>
      <c r="C6" s="8" t="s">
        <v>27</v>
      </c>
      <c r="D6" s="24" t="n">
        <v>0.39330566741433</v>
      </c>
      <c r="E6" s="24" t="n">
        <v>0.248013161038794</v>
      </c>
      <c r="F6" s="24" t="n">
        <v>0.253742770622154</v>
      </c>
      <c r="G6" s="24" t="n">
        <v>0.230650414971072</v>
      </c>
      <c r="H6" s="24" t="n">
        <v>0.251598285343126</v>
      </c>
      <c r="I6" s="24" t="n">
        <v>0.244763628110191</v>
      </c>
    </row>
    <row r="7" customFormat="false" ht="15" hidden="false" customHeight="false" outlineLevel="0" collapsed="false">
      <c r="B7" s="8" t="s">
        <v>28</v>
      </c>
      <c r="C7" s="8" t="s">
        <v>29</v>
      </c>
      <c r="D7" s="24" t="n">
        <v>0.354965962313624</v>
      </c>
      <c r="E7" s="24" t="n">
        <v>0.105654163347739</v>
      </c>
      <c r="F7" s="24" t="n">
        <v>0.0952696216592758</v>
      </c>
      <c r="G7" s="24" t="n">
        <v>0.0972314660052252</v>
      </c>
      <c r="H7" s="24" t="n">
        <v>0.092367751746197</v>
      </c>
      <c r="I7" s="24" t="n">
        <v>0.000121615575290795</v>
      </c>
    </row>
    <row r="8" customFormat="false" ht="15" hidden="false" customHeight="false" outlineLevel="0" collapsed="false">
      <c r="B8" s="8" t="s">
        <v>30</v>
      </c>
      <c r="C8" s="8" t="s">
        <v>31</v>
      </c>
      <c r="D8" s="24" t="n">
        <v>0.357887788112456</v>
      </c>
      <c r="E8" s="24" t="n">
        <v>0.133074399577257</v>
      </c>
      <c r="F8" s="24" t="n">
        <v>0.103347353082269</v>
      </c>
      <c r="G8" s="24" t="n">
        <v>0.100654941057467</v>
      </c>
      <c r="H8" s="24" t="n">
        <v>0.134576736521368</v>
      </c>
      <c r="I8" s="24" t="n">
        <v>0.088078124504345</v>
      </c>
    </row>
    <row r="9" customFormat="false" ht="15" hidden="false" customHeight="false" outlineLevel="0" collapsed="false">
      <c r="B9" s="8" t="s">
        <v>32</v>
      </c>
      <c r="C9" s="8" t="s">
        <v>33</v>
      </c>
      <c r="D9" s="24" t="n">
        <v>0.378959945725027</v>
      </c>
      <c r="E9" s="24" t="n">
        <v>0.228701741453027</v>
      </c>
      <c r="F9" s="24" t="n">
        <v>0.238453448238948</v>
      </c>
      <c r="G9" s="24" t="n">
        <v>0.235707350344789</v>
      </c>
      <c r="H9" s="24" t="n">
        <v>0.247408625732059</v>
      </c>
      <c r="I9" s="24" t="n">
        <v>0.222449980266594</v>
      </c>
    </row>
    <row r="10" customFormat="false" ht="15" hidden="false" customHeight="false" outlineLevel="0" collapsed="false">
      <c r="B10" s="8" t="s">
        <v>34</v>
      </c>
      <c r="C10" s="8" t="s">
        <v>35</v>
      </c>
      <c r="D10" s="24" t="n">
        <v>0.196292974767155</v>
      </c>
      <c r="E10" s="24" t="n">
        <v>0.102307731921291</v>
      </c>
      <c r="F10" s="24" t="n">
        <v>0.135928272683048</v>
      </c>
      <c r="G10" s="24" t="n">
        <v>0.091870681566152</v>
      </c>
      <c r="H10" s="24" t="n">
        <v>0.0902985811680249</v>
      </c>
      <c r="I10" s="24" t="n">
        <v>0.00433032979411681</v>
      </c>
    </row>
    <row r="11" customFormat="false" ht="15" hidden="false" customHeight="false" outlineLevel="0" collapsed="false">
      <c r="B11" s="8" t="s">
        <v>36</v>
      </c>
      <c r="C11" s="8" t="s">
        <v>37</v>
      </c>
      <c r="D11" s="24" t="n">
        <v>0.366290341205539</v>
      </c>
      <c r="E11" s="24" t="n">
        <v>0.115483189351783</v>
      </c>
      <c r="F11" s="24" t="n">
        <v>0.106530579684422</v>
      </c>
      <c r="G11" s="24" t="n">
        <v>0.0965525849770248</v>
      </c>
      <c r="H11" s="24" t="n">
        <v>0.100620345772489</v>
      </c>
      <c r="I11" s="24" t="n">
        <v>0.0461661765664279</v>
      </c>
    </row>
    <row r="13" customFormat="false" ht="15" hidden="false" customHeight="false" outlineLevel="0" collapsed="false">
      <c r="B13" s="5" t="s">
        <v>90</v>
      </c>
    </row>
    <row r="14" customFormat="false" ht="15" hidden="false" customHeight="false" outlineLevel="0" collapsed="false">
      <c r="B14" s="6" t="s">
        <v>23</v>
      </c>
      <c r="C14" s="6" t="s">
        <v>24</v>
      </c>
      <c r="D14" s="6" t="s">
        <v>41</v>
      </c>
      <c r="E14" s="6" t="s">
        <v>42</v>
      </c>
      <c r="F14" s="6" t="s">
        <v>43</v>
      </c>
      <c r="G14" s="6" t="s">
        <v>44</v>
      </c>
      <c r="H14" s="6" t="s">
        <v>45</v>
      </c>
      <c r="I14" s="6" t="s">
        <v>46</v>
      </c>
    </row>
    <row r="15" customFormat="false" ht="15" hidden="false" customHeight="false" outlineLevel="0" collapsed="false">
      <c r="B15" s="8" t="s">
        <v>26</v>
      </c>
      <c r="C15" s="8" t="s">
        <v>27</v>
      </c>
      <c r="D15" s="24" t="n">
        <v>0.185862523238184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</row>
    <row r="16" customFormat="false" ht="15" hidden="false" customHeight="false" outlineLevel="0" collapsed="false">
      <c r="B16" s="8" t="s">
        <v>28</v>
      </c>
      <c r="C16" s="8" t="s">
        <v>29</v>
      </c>
      <c r="D16" s="24" t="n">
        <v>0.249513901256144</v>
      </c>
      <c r="E16" s="24" t="n">
        <v>0</v>
      </c>
      <c r="F16" s="24" t="n">
        <v>0</v>
      </c>
      <c r="G16" s="24" t="n">
        <v>0</v>
      </c>
      <c r="H16" s="24" t="n">
        <v>0</v>
      </c>
      <c r="I16" s="24" t="n">
        <v>0</v>
      </c>
    </row>
    <row r="17" customFormat="false" ht="15" hidden="false" customHeight="false" outlineLevel="0" collapsed="false">
      <c r="B17" s="8" t="s">
        <v>30</v>
      </c>
      <c r="C17" s="8" t="s">
        <v>31</v>
      </c>
      <c r="D17" s="24" t="n">
        <v>0.24004047756728</v>
      </c>
      <c r="E17" s="24" t="n">
        <v>0</v>
      </c>
      <c r="F17" s="24" t="n">
        <v>0</v>
      </c>
      <c r="G17" s="24" t="n">
        <v>0</v>
      </c>
      <c r="H17" s="24" t="n">
        <v>0</v>
      </c>
      <c r="I17" s="24" t="n">
        <v>0</v>
      </c>
    </row>
    <row r="18" customFormat="false" ht="15" hidden="false" customHeight="false" outlineLevel="0" collapsed="false">
      <c r="B18" s="8" t="s">
        <v>32</v>
      </c>
      <c r="C18" s="8" t="s">
        <v>33</v>
      </c>
      <c r="D18" s="24" t="n">
        <v>0.24465615244286</v>
      </c>
      <c r="E18" s="24" t="n">
        <v>0</v>
      </c>
      <c r="F18" s="24" t="n">
        <v>0</v>
      </c>
      <c r="G18" s="24" t="n">
        <v>0</v>
      </c>
      <c r="H18" s="24" t="n">
        <v>0</v>
      </c>
      <c r="I18" s="24" t="n">
        <v>0</v>
      </c>
    </row>
    <row r="19" customFormat="false" ht="15" hidden="false" customHeight="false" outlineLevel="0" collapsed="false">
      <c r="B19" s="8" t="s">
        <v>34</v>
      </c>
      <c r="C19" s="8" t="s">
        <v>35</v>
      </c>
      <c r="D19" s="24" t="n">
        <v>0.14318913028627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</row>
    <row r="20" customFormat="false" ht="15" hidden="false" customHeight="false" outlineLevel="0" collapsed="false">
      <c r="B20" s="8" t="s">
        <v>36</v>
      </c>
      <c r="C20" s="8" t="s">
        <v>37</v>
      </c>
      <c r="D20" s="24" t="n">
        <v>0.209707971062666</v>
      </c>
      <c r="E20" s="24" t="n">
        <v>0</v>
      </c>
      <c r="F20" s="24" t="n">
        <v>0</v>
      </c>
      <c r="G20" s="24" t="n">
        <v>0</v>
      </c>
      <c r="H20" s="24" t="n">
        <v>0</v>
      </c>
      <c r="I20" s="24" t="n">
        <v>0</v>
      </c>
    </row>
    <row r="22" customFormat="false" ht="15" hidden="false" customHeight="false" outlineLevel="0" collapsed="false">
      <c r="B22" s="5" t="s">
        <v>91</v>
      </c>
    </row>
    <row r="23" customFormat="false" ht="15" hidden="false" customHeight="false" outlineLevel="0" collapsed="false">
      <c r="B23" s="6" t="s">
        <v>23</v>
      </c>
      <c r="C23" s="6" t="s">
        <v>24</v>
      </c>
      <c r="D23" s="6" t="s">
        <v>41</v>
      </c>
      <c r="E23" s="6" t="s">
        <v>42</v>
      </c>
      <c r="F23" s="6" t="s">
        <v>43</v>
      </c>
      <c r="G23" s="6" t="s">
        <v>44</v>
      </c>
      <c r="H23" s="6" t="s">
        <v>45</v>
      </c>
      <c r="I23" s="6" t="s">
        <v>46</v>
      </c>
    </row>
    <row r="24" customFormat="false" ht="15" hidden="false" customHeight="false" outlineLevel="0" collapsed="false">
      <c r="B24" s="8" t="s">
        <v>26</v>
      </c>
      <c r="C24" s="8" t="s">
        <v>27</v>
      </c>
      <c r="D24" s="31" t="n">
        <f aca="false">(D6-D15)*100</f>
        <v>20.7443144176146</v>
      </c>
      <c r="E24" s="31" t="n">
        <f aca="false">(E6-E15)*100</f>
        <v>24.8013161038794</v>
      </c>
      <c r="F24" s="31" t="n">
        <f aca="false">(F6-F15)*100</f>
        <v>25.3742770622154</v>
      </c>
      <c r="G24" s="31" t="n">
        <f aca="false">(G6-G15)*100</f>
        <v>23.0650414971072</v>
      </c>
      <c r="H24" s="31" t="n">
        <f aca="false">(H6-H15)*100</f>
        <v>25.1598285343126</v>
      </c>
      <c r="I24" s="31" t="n">
        <f aca="false">(I6-I15)*100</f>
        <v>24.4763628110191</v>
      </c>
    </row>
    <row r="25" customFormat="false" ht="15" hidden="false" customHeight="false" outlineLevel="0" collapsed="false">
      <c r="B25" s="8" t="s">
        <v>28</v>
      </c>
      <c r="C25" s="8" t="s">
        <v>29</v>
      </c>
      <c r="D25" s="31" t="n">
        <f aca="false">(D7-D16)*100</f>
        <v>10.545206105748</v>
      </c>
      <c r="E25" s="31" t="n">
        <f aca="false">(E7-E16)*100</f>
        <v>10.5654163347739</v>
      </c>
      <c r="F25" s="31" t="n">
        <f aca="false">(F7-F16)*100</f>
        <v>9.52696216592758</v>
      </c>
      <c r="G25" s="31" t="n">
        <f aca="false">(G7-G16)*100</f>
        <v>9.72314660052252</v>
      </c>
      <c r="H25" s="31" t="n">
        <f aca="false">(H7-H16)*100</f>
        <v>9.2367751746197</v>
      </c>
      <c r="I25" s="31" t="n">
        <f aca="false">(I7-I16)*100</f>
        <v>0.0121615575290795</v>
      </c>
    </row>
    <row r="26" customFormat="false" ht="15" hidden="false" customHeight="false" outlineLevel="0" collapsed="false">
      <c r="B26" s="8" t="s">
        <v>30</v>
      </c>
      <c r="C26" s="8" t="s">
        <v>31</v>
      </c>
      <c r="D26" s="31" t="n">
        <f aca="false">(D8-D17)*100</f>
        <v>11.7847310545175</v>
      </c>
      <c r="E26" s="31" t="n">
        <f aca="false">(E8-E17)*100</f>
        <v>13.3074399577257</v>
      </c>
      <c r="F26" s="31" t="n">
        <f aca="false">(F8-F17)*100</f>
        <v>10.3347353082269</v>
      </c>
      <c r="G26" s="31" t="n">
        <f aca="false">(G8-G17)*100</f>
        <v>10.0654941057467</v>
      </c>
      <c r="H26" s="31" t="n">
        <f aca="false">(H8-H17)*100</f>
        <v>13.4576736521368</v>
      </c>
      <c r="I26" s="31" t="n">
        <f aca="false">(I8-I17)*100</f>
        <v>8.8078124504345</v>
      </c>
    </row>
    <row r="27" customFormat="false" ht="15" hidden="false" customHeight="false" outlineLevel="0" collapsed="false">
      <c r="B27" s="8" t="s">
        <v>32</v>
      </c>
      <c r="C27" s="8" t="s">
        <v>33</v>
      </c>
      <c r="D27" s="31" t="n">
        <f aca="false">(D9-D18)*100</f>
        <v>13.4303793282167</v>
      </c>
      <c r="E27" s="31" t="n">
        <f aca="false">(E9-E18)*100</f>
        <v>22.8701741453027</v>
      </c>
      <c r="F27" s="31" t="n">
        <f aca="false">(F9-F18)*100</f>
        <v>23.8453448238948</v>
      </c>
      <c r="G27" s="31" t="n">
        <f aca="false">(G9-G18)*100</f>
        <v>23.5707350344789</v>
      </c>
      <c r="H27" s="31" t="n">
        <f aca="false">(H9-H18)*100</f>
        <v>24.7408625732059</v>
      </c>
      <c r="I27" s="31" t="n">
        <f aca="false">(I9-I18)*100</f>
        <v>22.2449980266594</v>
      </c>
    </row>
    <row r="28" customFormat="false" ht="15" hidden="false" customHeight="false" outlineLevel="0" collapsed="false">
      <c r="B28" s="8" t="s">
        <v>34</v>
      </c>
      <c r="C28" s="8" t="s">
        <v>35</v>
      </c>
      <c r="D28" s="31" t="n">
        <f aca="false">(D10-D19)*100</f>
        <v>5.3103844480885</v>
      </c>
      <c r="E28" s="31" t="n">
        <f aca="false">(E10-E19)*100</f>
        <v>10.2307731921291</v>
      </c>
      <c r="F28" s="31" t="n">
        <f aca="false">(F10-F19)*100</f>
        <v>13.5928272683048</v>
      </c>
      <c r="G28" s="31" t="n">
        <f aca="false">(G10-G19)*100</f>
        <v>9.1870681566152</v>
      </c>
      <c r="H28" s="31" t="n">
        <f aca="false">(H10-H19)*100</f>
        <v>9.02985811680249</v>
      </c>
      <c r="I28" s="31" t="n">
        <f aca="false">(I10-I19)*100</f>
        <v>0.433032979411681</v>
      </c>
    </row>
    <row r="29" customFormat="false" ht="15" hidden="false" customHeight="false" outlineLevel="0" collapsed="false">
      <c r="B29" s="8" t="s">
        <v>36</v>
      </c>
      <c r="C29" s="8" t="s">
        <v>37</v>
      </c>
      <c r="D29" s="31" t="n">
        <f aca="false">(D11-D20)*100</f>
        <v>15.6582370142873</v>
      </c>
      <c r="E29" s="31" t="n">
        <f aca="false">(E11-E20)*100</f>
        <v>11.5483189351783</v>
      </c>
      <c r="F29" s="31" t="n">
        <f aca="false">(F11-F20)*100</f>
        <v>10.6530579684422</v>
      </c>
      <c r="G29" s="31" t="n">
        <f aca="false">(G11-G20)*100</f>
        <v>9.65525849770248</v>
      </c>
      <c r="H29" s="31" t="n">
        <f aca="false">(H11-H20)*100</f>
        <v>10.0620345772489</v>
      </c>
      <c r="I29" s="31" t="n">
        <f aca="false">(I11-I20)*100</f>
        <v>4.61661765664279</v>
      </c>
    </row>
    <row r="31" customFormat="false" ht="15" hidden="false" customHeight="false" outlineLevel="0" collapsed="false">
      <c r="B31" s="5" t="s">
        <v>92</v>
      </c>
    </row>
    <row r="32" customFormat="false" ht="15" hidden="false" customHeight="false" outlineLevel="0" collapsed="false">
      <c r="B32" s="6" t="s">
        <v>23</v>
      </c>
      <c r="C32" s="6" t="s">
        <v>24</v>
      </c>
      <c r="D32" s="6" t="s">
        <v>41</v>
      </c>
      <c r="E32" s="6" t="s">
        <v>42</v>
      </c>
      <c r="F32" s="6" t="s">
        <v>43</v>
      </c>
      <c r="G32" s="6" t="s">
        <v>44</v>
      </c>
      <c r="H32" s="6" t="s">
        <v>45</v>
      </c>
      <c r="I32" s="6" t="s">
        <v>46</v>
      </c>
    </row>
    <row r="33" customFormat="false" ht="15" hidden="false" customHeight="false" outlineLevel="0" collapsed="false">
      <c r="B33" s="8" t="s">
        <v>26</v>
      </c>
      <c r="C33" s="8" t="s">
        <v>27</v>
      </c>
      <c r="D33" s="32" t="n">
        <v>109407053</v>
      </c>
      <c r="E33" s="32" t="n">
        <v>798804423</v>
      </c>
      <c r="F33" s="32" t="n">
        <v>24488276</v>
      </c>
      <c r="G33" s="32" t="n">
        <v>13327676</v>
      </c>
      <c r="H33" s="32" t="n">
        <v>72674132</v>
      </c>
      <c r="I33" s="32" t="n">
        <v>100123475</v>
      </c>
    </row>
    <row r="34" customFormat="false" ht="15" hidden="false" customHeight="false" outlineLevel="0" collapsed="false">
      <c r="B34" s="8" t="s">
        <v>28</v>
      </c>
      <c r="C34" s="8" t="s">
        <v>29</v>
      </c>
      <c r="D34" s="32" t="n">
        <v>14486296</v>
      </c>
      <c r="E34" s="32" t="n">
        <v>399718749</v>
      </c>
      <c r="F34" s="32" t="n">
        <v>59569083</v>
      </c>
      <c r="G34" s="32" t="n">
        <v>36731895</v>
      </c>
      <c r="H34" s="32" t="n">
        <v>6868068</v>
      </c>
      <c r="I34" s="32" t="n">
        <v>18829825</v>
      </c>
    </row>
    <row r="35" customFormat="false" ht="15" hidden="false" customHeight="false" outlineLevel="0" collapsed="false">
      <c r="B35" s="8" t="s">
        <v>30</v>
      </c>
      <c r="C35" s="8" t="s">
        <v>31</v>
      </c>
      <c r="D35" s="32" t="n">
        <v>151936897</v>
      </c>
      <c r="E35" s="32" t="n">
        <v>501823846</v>
      </c>
      <c r="F35" s="32" t="n">
        <v>57538358</v>
      </c>
      <c r="G35" s="32" t="n">
        <v>71221829</v>
      </c>
      <c r="H35" s="32" t="n">
        <v>9027214</v>
      </c>
      <c r="I35" s="32" t="n">
        <v>50123070</v>
      </c>
    </row>
    <row r="36" customFormat="false" ht="15" hidden="false" customHeight="false" outlineLevel="0" collapsed="false">
      <c r="B36" s="8" t="s">
        <v>32</v>
      </c>
      <c r="C36" s="8" t="s">
        <v>33</v>
      </c>
      <c r="D36" s="32" t="n">
        <v>5739662</v>
      </c>
      <c r="E36" s="32" t="n">
        <v>184492889</v>
      </c>
      <c r="F36" s="32" t="n">
        <v>28164101</v>
      </c>
      <c r="G36" s="32" t="n">
        <v>9242478</v>
      </c>
      <c r="H36" s="32" t="n">
        <v>24026923</v>
      </c>
      <c r="I36" s="32" t="n">
        <v>29039589</v>
      </c>
    </row>
    <row r="37" customFormat="false" ht="15" hidden="false" customHeight="false" outlineLevel="0" collapsed="false">
      <c r="B37" s="8" t="s">
        <v>34</v>
      </c>
      <c r="C37" s="8" t="s">
        <v>35</v>
      </c>
      <c r="D37" s="32" t="n">
        <v>180496964</v>
      </c>
      <c r="E37" s="32" t="n">
        <v>40098895</v>
      </c>
      <c r="F37" s="32" t="n">
        <v>1976041</v>
      </c>
      <c r="G37" s="32" t="n">
        <v>2977642</v>
      </c>
      <c r="H37" s="32" t="n">
        <v>7087520</v>
      </c>
      <c r="I37" s="32" t="n">
        <v>40501996</v>
      </c>
    </row>
    <row r="38" customFormat="false" ht="15" hidden="false" customHeight="false" outlineLevel="0" collapsed="false">
      <c r="B38" s="8" t="s">
        <v>36</v>
      </c>
      <c r="C38" s="8" t="s">
        <v>37</v>
      </c>
      <c r="D38" s="32" t="n">
        <v>369701179</v>
      </c>
      <c r="E38" s="32" t="n">
        <v>183115128</v>
      </c>
      <c r="F38" s="32" t="n">
        <v>5628459</v>
      </c>
      <c r="G38" s="32" t="n">
        <v>7274378</v>
      </c>
      <c r="H38" s="32" t="n">
        <v>59967524</v>
      </c>
      <c r="I38" s="32" t="n">
        <v>107747346</v>
      </c>
    </row>
    <row r="40" customFormat="false" ht="15" hidden="false" customHeight="false" outlineLevel="0" collapsed="false">
      <c r="B40" s="4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2026-10-12T22:21:08Z</dcterms:created>
  <dc:creator>Likhit</dc:creator>
  <dc:description/>
  <dc:language>en-US</dc:language>
  <cp:lastModifiedBy/>
  <dcterms:modified xsi:type="dcterms:W3CDTF">2026-10-12T22:21:08Z</dcterms:modified>
  <cp:revision>0</cp:revision>
  <dc:subject/>
  <dc:title>Furniture landed-cost scenario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